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EP 매트릭스" sheetId="1" state="visible" r:id="rId3"/>
    <sheet name="ROI 시뮬레이터" sheetId="2" state="visible" r:id="rId4"/>
    <sheet name="ICE vs ICEP 비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<sst xmlns="http://schemas.openxmlformats.org/spreadsheetml/2006/main" count="132" uniqueCount="108">
  <si>
    <r>
      <rPr>
        <b val="true"/>
        <sz val="14"/>
        <color rgb="FF1B2A4A"/>
        <rFont val="맑은 고딕"/>
        <family val="0"/>
        <charset val="1"/>
      </rPr>
      <t xml:space="preserve">FLOW~ ICEP </t>
    </r>
    <r>
      <rPr>
        <b val="true"/>
        <sz val="14"/>
        <color rgb="FF1B2A4A"/>
        <rFont val="DejaVu Sans"/>
        <family val="2"/>
      </rPr>
      <t xml:space="preserve">매트릭스 </t>
    </r>
    <r>
      <rPr>
        <b val="true"/>
        <sz val="14"/>
        <color rgb="FF1B2A4A"/>
        <rFont val="맑은 고딕"/>
        <family val="0"/>
        <charset val="1"/>
      </rPr>
      <t xml:space="preserve">v2.0 — AI </t>
    </r>
    <r>
      <rPr>
        <b val="true"/>
        <sz val="14"/>
        <color rgb="FF1B2A4A"/>
        <rFont val="DejaVu Sans"/>
        <family val="2"/>
      </rPr>
      <t xml:space="preserve">적용 우선순위 결정 도구</t>
    </r>
  </si>
  <si>
    <r>
      <rPr>
        <i val="true"/>
        <sz val="9"/>
        <color rgb="FF666666"/>
        <rFont val="맑은 고딕"/>
        <family val="0"/>
        <charset val="1"/>
      </rPr>
      <t xml:space="preserve">ICE + People Readiness = ICEP | </t>
    </r>
    <r>
      <rPr>
        <i val="true"/>
        <sz val="9"/>
        <color rgb="FF666666"/>
        <rFont val="DejaVu Sans"/>
        <family val="2"/>
      </rPr>
      <t xml:space="preserve">사람 준비도를 반영한 </t>
    </r>
    <r>
      <rPr>
        <i val="true"/>
        <sz val="9"/>
        <color rgb="FF666666"/>
        <rFont val="맑은 고딕"/>
        <family val="0"/>
        <charset val="1"/>
      </rPr>
      <t xml:space="preserve">4</t>
    </r>
    <r>
      <rPr>
        <i val="true"/>
        <sz val="9"/>
        <color rgb="FF666666"/>
        <rFont val="DejaVu Sans"/>
        <family val="2"/>
      </rPr>
      <t xml:space="preserve">축 평가</t>
    </r>
  </si>
  <si>
    <t xml:space="preserve">평가 정보</t>
  </si>
  <si>
    <r>
      <rPr>
        <b val="true"/>
        <sz val="10"/>
        <color rgb="FF1B2A4A"/>
        <rFont val="DejaVu Sans"/>
        <family val="2"/>
      </rPr>
      <t xml:space="preserve">팀</t>
    </r>
    <r>
      <rPr>
        <b val="true"/>
        <sz val="10"/>
        <color rgb="FF1B2A4A"/>
        <rFont val="맑은 고딕"/>
        <family val="0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부서</t>
    </r>
    <r>
      <rPr>
        <b val="true"/>
        <sz val="10"/>
        <color rgb="FF1B2A4A"/>
        <rFont val="맑은 고딕"/>
        <family val="0"/>
        <charset val="1"/>
      </rPr>
      <t xml:space="preserve">:</t>
    </r>
  </si>
  <si>
    <r>
      <rPr>
        <b val="true"/>
        <sz val="10"/>
        <color rgb="FF1B2A4A"/>
        <rFont val="DejaVu Sans"/>
        <family val="2"/>
      </rPr>
      <t xml:space="preserve">평가일</t>
    </r>
    <r>
      <rPr>
        <b val="true"/>
        <sz val="10"/>
        <color rgb="FF1B2A4A"/>
        <rFont val="맑은 고딕"/>
        <family val="0"/>
        <charset val="1"/>
      </rPr>
      <t xml:space="preserve">:</t>
    </r>
  </si>
  <si>
    <r>
      <rPr>
        <b val="true"/>
        <sz val="10"/>
        <color rgb="FF1B2A4A"/>
        <rFont val="DejaVu Sans"/>
        <family val="2"/>
      </rPr>
      <t xml:space="preserve">퍼실리테이터</t>
    </r>
    <r>
      <rPr>
        <b val="true"/>
        <sz val="10"/>
        <color rgb="FF1B2A4A"/>
        <rFont val="맑은 고딕"/>
        <family val="0"/>
        <charset val="1"/>
      </rPr>
      <t xml:space="preserve">:</t>
    </r>
  </si>
  <si>
    <r>
      <rPr>
        <b val="true"/>
        <sz val="10"/>
        <color rgb="FF1B2A4A"/>
        <rFont val="DejaVu Sans"/>
        <family val="2"/>
      </rPr>
      <t xml:space="preserve">참여 인원</t>
    </r>
    <r>
      <rPr>
        <b val="true"/>
        <sz val="10"/>
        <color rgb="FF1B2A4A"/>
        <rFont val="맑은 고딕"/>
        <family val="0"/>
        <charset val="1"/>
      </rPr>
      <t xml:space="preserve">:</t>
    </r>
  </si>
  <si>
    <t xml:space="preserve">#</t>
  </si>
  <si>
    <r>
      <rPr>
        <b val="true"/>
        <sz val="9"/>
        <color rgb="FFFFFFFF"/>
        <rFont val="맑은 고딕"/>
        <family val="0"/>
        <charset val="1"/>
      </rPr>
      <t xml:space="preserve">AI </t>
    </r>
    <r>
      <rPr>
        <b val="true"/>
        <sz val="9"/>
        <color rgb="FFFFFFFF"/>
        <rFont val="DejaVu Sans"/>
        <family val="2"/>
      </rPr>
      <t xml:space="preserve">적용 대상 업무</t>
    </r>
  </si>
  <si>
    <r>
      <rPr>
        <b val="true"/>
        <sz val="9"/>
        <color rgb="FFFFFFFF"/>
        <rFont val="맑은 고딕"/>
        <family val="0"/>
        <charset val="1"/>
      </rPr>
      <t xml:space="preserve">I
(</t>
    </r>
    <r>
      <rPr>
        <b val="true"/>
        <sz val="9"/>
        <color rgb="FFFFFFFF"/>
        <rFont val="DejaVu Sans"/>
        <family val="2"/>
      </rPr>
      <t xml:space="preserve">영향력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</si>
  <si>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C
(</t>
    </r>
    <r>
      <rPr>
        <b val="true"/>
        <sz val="9"/>
        <color rgb="FFFFFFFF"/>
        <rFont val="DejaVu Sans"/>
        <family val="2"/>
      </rPr>
      <t xml:space="preserve">신뢰도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</si>
  <si>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E
(</t>
    </r>
    <r>
      <rPr>
        <b val="true"/>
        <sz val="9"/>
        <color rgb="FFFFFFFF"/>
        <rFont val="DejaVu Sans"/>
        <family val="2"/>
      </rPr>
      <t xml:space="preserve">용이성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</si>
  <si>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P
(</t>
    </r>
    <r>
      <rPr>
        <b val="true"/>
        <sz val="9"/>
        <color rgb="FFFFFFFF"/>
        <rFont val="DejaVu Sans"/>
        <family val="2"/>
      </rPr>
      <t xml:space="preserve">사람준비도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</si>
  <si>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ICEP
</t>
    </r>
    <r>
      <rPr>
        <b val="true"/>
        <sz val="9"/>
        <color rgb="FFFFFFFF"/>
        <rFont val="DejaVu Sans"/>
        <family val="2"/>
      </rPr>
      <t xml:space="preserve">평균</t>
    </r>
  </si>
  <si>
    <r>
      <rPr>
        <b val="true"/>
        <sz val="9"/>
        <color rgb="FFFFFFFF"/>
        <rFont val="맑은 고딕"/>
        <family val="0"/>
        <charset val="1"/>
      </rPr>
      <t xml:space="preserve">Wave
</t>
    </r>
    <r>
      <rPr>
        <b val="true"/>
        <sz val="9"/>
        <color rgb="FFFFFFFF"/>
        <rFont val="DejaVu Sans"/>
        <family val="2"/>
      </rPr>
      <t xml:space="preserve">판정</t>
    </r>
  </si>
  <si>
    <t xml:space="preserve">선행 조치</t>
  </si>
  <si>
    <r>
      <rPr>
        <b val="true"/>
        <sz val="10"/>
        <color rgb="FFFFFFFF"/>
        <rFont val="맑은 고딕"/>
        <family val="0"/>
        <charset val="1"/>
      </rPr>
      <t xml:space="preserve">Wave </t>
    </r>
    <r>
      <rPr>
        <b val="true"/>
        <sz val="10"/>
        <color rgb="FFFFFFFF"/>
        <rFont val="DejaVu Sans"/>
        <family val="2"/>
      </rPr>
      <t xml:space="preserve">분류 요약</t>
    </r>
  </si>
  <si>
    <r>
      <rPr>
        <b val="true"/>
        <sz val="10"/>
        <color rgb="FF1B2A4A"/>
        <rFont val="맑은 고딕"/>
        <family val="0"/>
        <charset val="1"/>
      </rPr>
      <t xml:space="preserve">Wave 1 (</t>
    </r>
    <r>
      <rPr>
        <b val="true"/>
        <sz val="10"/>
        <color rgb="FF1B2A4A"/>
        <rFont val="DejaVu Sans"/>
        <family val="2"/>
      </rPr>
      <t xml:space="preserve">즉시 실행</t>
    </r>
    <r>
      <rPr>
        <b val="true"/>
        <sz val="10"/>
        <color rgb="FF1B2A4A"/>
        <rFont val="맑은 고딕"/>
        <family val="0"/>
        <charset val="1"/>
      </rPr>
      <t xml:space="preserve">, 8</t>
    </r>
    <r>
      <rPr>
        <b val="true"/>
        <sz val="10"/>
        <color rgb="FF1B2A4A"/>
        <rFont val="DejaVu Sans"/>
        <family val="2"/>
      </rPr>
      <t xml:space="preserve">점</t>
    </r>
    <r>
      <rPr>
        <b val="true"/>
        <sz val="10"/>
        <color rgb="FF1B2A4A"/>
        <rFont val="맑은 고딕"/>
        <family val="0"/>
        <charset val="1"/>
      </rPr>
      <t xml:space="preserve">+)</t>
    </r>
  </si>
  <si>
    <t xml:space="preserve">건</t>
  </si>
  <si>
    <r>
      <rPr>
        <sz val="9"/>
        <color rgb="FF555555"/>
        <rFont val="맑은 고딕"/>
        <family val="0"/>
        <charset val="1"/>
      </rPr>
      <t xml:space="preserve">Quick Win — </t>
    </r>
    <r>
      <rPr>
        <sz val="9"/>
        <color rgb="FF555555"/>
        <rFont val="DejaVu Sans"/>
        <family val="2"/>
      </rPr>
      <t xml:space="preserve">즉시 성과 가시화</t>
    </r>
  </si>
  <si>
    <r>
      <rPr>
        <b val="true"/>
        <sz val="10"/>
        <color rgb="FF1B2A4A"/>
        <rFont val="맑은 고딕"/>
        <family val="0"/>
        <charset val="1"/>
      </rPr>
      <t xml:space="preserve">Wave 2 (</t>
    </r>
    <r>
      <rPr>
        <b val="true"/>
        <sz val="10"/>
        <color rgb="FF1B2A4A"/>
        <rFont val="DejaVu Sans"/>
        <family val="2"/>
      </rPr>
      <t xml:space="preserve">단기 실행</t>
    </r>
    <r>
      <rPr>
        <b val="true"/>
        <sz val="10"/>
        <color rgb="FF1B2A4A"/>
        <rFont val="맑은 고딕"/>
        <family val="0"/>
        <charset val="1"/>
      </rPr>
      <t xml:space="preserve">, 6~7</t>
    </r>
    <r>
      <rPr>
        <b val="true"/>
        <sz val="10"/>
        <color rgb="FF1B2A4A"/>
        <rFont val="DejaVu Sans"/>
        <family val="2"/>
      </rPr>
      <t xml:space="preserve">점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</si>
  <si>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sz val="9"/>
        <color rgb="FF555555"/>
        <rFont val="DejaVu Sans"/>
        <family val="2"/>
      </rPr>
      <t xml:space="preserve">구조 혁신 — </t>
    </r>
    <r>
      <rPr>
        <sz val="9"/>
        <color rgb="FF555555"/>
        <rFont val="맑은 고딕"/>
        <family val="0"/>
        <charset val="1"/>
      </rPr>
      <t xml:space="preserve">1~3</t>
    </r>
    <r>
      <rPr>
        <sz val="9"/>
        <color rgb="FF555555"/>
        <rFont val="DejaVu Sans"/>
        <family val="2"/>
      </rPr>
      <t xml:space="preserve">개월 내 실행</t>
    </r>
  </si>
  <si>
    <r>
      <rPr>
        <b val="true"/>
        <sz val="10"/>
        <color rgb="FF1B2A4A"/>
        <rFont val="맑은 고딕"/>
        <family val="0"/>
        <charset val="1"/>
      </rPr>
      <t xml:space="preserve">Wave 3 (</t>
    </r>
    <r>
      <rPr>
        <b val="true"/>
        <sz val="10"/>
        <color rgb="FF1B2A4A"/>
        <rFont val="DejaVu Sans"/>
        <family val="2"/>
      </rPr>
      <t xml:space="preserve">중기 과제</t>
    </r>
    <r>
      <rPr>
        <b val="true"/>
        <sz val="10"/>
        <color rgb="FF1B2A4A"/>
        <rFont val="맑은 고딕"/>
        <family val="0"/>
        <charset val="1"/>
      </rPr>
      <t xml:space="preserve">, 4~5</t>
    </r>
    <r>
      <rPr>
        <b val="true"/>
        <sz val="10"/>
        <color rgb="FF1B2A4A"/>
        <rFont val="DejaVu Sans"/>
        <family val="2"/>
      </rPr>
      <t xml:space="preserve">점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</si>
  <si>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sz val="9"/>
        <color rgb="FF555555"/>
        <rFont val="DejaVu Sans"/>
        <family val="2"/>
      </rPr>
      <t xml:space="preserve">전략 전환 — </t>
    </r>
    <r>
      <rPr>
        <sz val="9"/>
        <color rgb="FF555555"/>
        <rFont val="맑은 고딕"/>
        <family val="0"/>
        <charset val="1"/>
      </rPr>
      <t xml:space="preserve">4~6</t>
    </r>
    <r>
      <rPr>
        <sz val="9"/>
        <color rgb="FF555555"/>
        <rFont val="DejaVu Sans"/>
        <family val="2"/>
      </rPr>
      <t xml:space="preserve">개월 로드맵</t>
    </r>
  </si>
  <si>
    <r>
      <rPr>
        <b val="true"/>
        <sz val="10"/>
        <color rgb="FF1B2A4A"/>
        <rFont val="DejaVu Sans"/>
        <family val="2"/>
      </rPr>
      <t xml:space="preserve">보류 </t>
    </r>
    <r>
      <rPr>
        <b val="true"/>
        <sz val="10"/>
        <color rgb="FF1B2A4A"/>
        <rFont val="맑은 고딕"/>
        <family val="0"/>
        <charset val="1"/>
      </rPr>
      <t xml:space="preserve">(3</t>
    </r>
    <r>
      <rPr>
        <b val="true"/>
        <sz val="10"/>
        <color rgb="FF1B2A4A"/>
        <rFont val="DejaVu Sans"/>
        <family val="2"/>
      </rPr>
      <t xml:space="preserve">점 이하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</si>
  <si>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sz val="9"/>
        <color rgb="FF555555"/>
        <rFont val="맑은 고딕"/>
        <family val="0"/>
        <charset val="1"/>
      </rPr>
      <t xml:space="preserve">ICEP </t>
    </r>
    <r>
      <rPr>
        <sz val="9"/>
        <color rgb="FF555555"/>
        <rFont val="DejaVu Sans"/>
        <family val="2"/>
      </rPr>
      <t xml:space="preserve">재평가 또는 </t>
    </r>
    <r>
      <rPr>
        <sz val="9"/>
        <color rgb="FF555555"/>
        <rFont val="맑은 고딕"/>
        <family val="0"/>
        <charset val="1"/>
      </rPr>
      <t xml:space="preserve">Phase 2 </t>
    </r>
    <r>
      <rPr>
        <sz val="9"/>
        <color rgb="FF555555"/>
        <rFont val="DejaVu Sans"/>
        <family val="2"/>
      </rPr>
      <t xml:space="preserve">재진입</t>
    </r>
  </si>
  <si>
    <r>
      <rPr>
        <b val="true"/>
        <sz val="10"/>
        <color rgb="FFFFFFFF"/>
        <rFont val="맑은 고딕"/>
        <family val="0"/>
        <charset val="1"/>
      </rPr>
      <t xml:space="preserve">P</t>
    </r>
    <r>
      <rPr>
        <b val="true"/>
        <sz val="10"/>
        <color rgb="FFFFFFFF"/>
        <rFont val="DejaVu Sans"/>
        <family val="2"/>
      </rPr>
      <t xml:space="preserve">축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사람 준비도</t>
    </r>
    <r>
      <rPr>
        <b val="true"/>
        <sz val="10"/>
        <color rgb="FFFFFFFF"/>
        <rFont val="맑은 고딕"/>
        <family val="0"/>
        <charset val="1"/>
      </rPr>
      <t xml:space="preserve">) </t>
    </r>
    <r>
      <rPr>
        <b val="true"/>
        <sz val="10"/>
        <color rgb="FFFFFFFF"/>
        <rFont val="DejaVu Sans"/>
        <family val="2"/>
      </rPr>
      <t xml:space="preserve">분석 — </t>
    </r>
    <r>
      <rPr>
        <b val="true"/>
        <sz val="10"/>
        <color rgb="FFFFFFFF"/>
        <rFont val="맑은 고딕"/>
        <family val="0"/>
        <charset val="1"/>
      </rPr>
      <t xml:space="preserve">FLOW~ </t>
    </r>
    <r>
      <rPr>
        <b val="true"/>
        <sz val="10"/>
        <color rgb="FFFFFFFF"/>
        <rFont val="DejaVu Sans"/>
        <family val="2"/>
      </rPr>
      <t xml:space="preserve">고유 인사이트</t>
    </r>
  </si>
  <si>
    <r>
      <rPr>
        <b val="true"/>
        <sz val="10"/>
        <color rgb="FF1B2A4A"/>
        <rFont val="맑은 고딕"/>
        <family val="0"/>
        <charset val="1"/>
      </rPr>
      <t xml:space="preserve">P</t>
    </r>
    <r>
      <rPr>
        <b val="true"/>
        <sz val="10"/>
        <color rgb="FF1B2A4A"/>
        <rFont val="DejaVu Sans"/>
        <family val="2"/>
      </rPr>
      <t xml:space="preserve">점수 ≤ </t>
    </r>
    <r>
      <rPr>
        <b val="true"/>
        <sz val="10"/>
        <color rgb="FF1B2A4A"/>
        <rFont val="맑은 고딕"/>
        <family val="0"/>
        <charset val="1"/>
      </rPr>
      <t xml:space="preserve">4 (</t>
    </r>
    <r>
      <rPr>
        <b val="true"/>
        <sz val="10"/>
        <color rgb="FF1B2A4A"/>
        <rFont val="DejaVu Sans"/>
        <family val="2"/>
      </rPr>
      <t xml:space="preserve">위험</t>
    </r>
    <r>
      <rPr>
        <b val="true"/>
        <sz val="10"/>
        <color rgb="FF1B2A4A"/>
        <rFont val="맑은 고딕"/>
        <family val="0"/>
        <charset val="1"/>
      </rPr>
      <t xml:space="preserve">) </t>
    </r>
    <r>
      <rPr>
        <b val="true"/>
        <sz val="10"/>
        <color rgb="FF1B2A4A"/>
        <rFont val="DejaVu Sans"/>
        <family val="2"/>
      </rPr>
      <t xml:space="preserve">업무 수</t>
    </r>
  </si>
  <si>
    <r>
      <rPr>
        <b val="true"/>
        <sz val="10"/>
        <color rgb="FF1B2A4A"/>
        <rFont val="맑은 고딕"/>
        <family val="0"/>
        <charset val="1"/>
      </rPr>
      <t xml:space="preserve">P</t>
    </r>
    <r>
      <rPr>
        <b val="true"/>
        <sz val="10"/>
        <color rgb="FF1B2A4A"/>
        <rFont val="DejaVu Sans"/>
        <family val="2"/>
      </rPr>
      <t xml:space="preserve">점수 </t>
    </r>
    <r>
      <rPr>
        <b val="true"/>
        <sz val="10"/>
        <color rgb="FF1B2A4A"/>
        <rFont val="맑은 고딕"/>
        <family val="0"/>
        <charset val="1"/>
      </rPr>
      <t xml:space="preserve">5~6 (</t>
    </r>
    <r>
      <rPr>
        <b val="true"/>
        <sz val="10"/>
        <color rgb="FF1B2A4A"/>
        <rFont val="DejaVu Sans"/>
        <family val="2"/>
      </rPr>
      <t xml:space="preserve">보통</t>
    </r>
    <r>
      <rPr>
        <b val="true"/>
        <sz val="10"/>
        <color rgb="FF1B2A4A"/>
        <rFont val="맑은 고딕"/>
        <family val="0"/>
        <charset val="1"/>
      </rPr>
      <t xml:space="preserve">) </t>
    </r>
    <r>
      <rPr>
        <b val="true"/>
        <sz val="10"/>
        <color rgb="FF1B2A4A"/>
        <rFont val="DejaVu Sans"/>
        <family val="2"/>
      </rPr>
      <t xml:space="preserve">업무 수</t>
    </r>
  </si>
  <si>
    <r>
      <rPr>
        <b val="true"/>
        <sz val="10"/>
        <color rgb="FF1B2A4A"/>
        <rFont val="맑은 고딕"/>
        <family val="0"/>
        <charset val="1"/>
      </rPr>
      <t xml:space="preserve">P</t>
    </r>
    <r>
      <rPr>
        <b val="true"/>
        <sz val="10"/>
        <color rgb="FF1B2A4A"/>
        <rFont val="DejaVu Sans"/>
        <family val="2"/>
      </rPr>
      <t xml:space="preserve">점수 ≥ </t>
    </r>
    <r>
      <rPr>
        <b val="true"/>
        <sz val="10"/>
        <color rgb="FF1B2A4A"/>
        <rFont val="맑은 고딕"/>
        <family val="0"/>
        <charset val="1"/>
      </rPr>
      <t xml:space="preserve">7 (</t>
    </r>
    <r>
      <rPr>
        <b val="true"/>
        <sz val="10"/>
        <color rgb="FF1B2A4A"/>
        <rFont val="DejaVu Sans"/>
        <family val="2"/>
      </rPr>
      <t xml:space="preserve">양호</t>
    </r>
    <r>
      <rPr>
        <b val="true"/>
        <sz val="10"/>
        <color rgb="FF1B2A4A"/>
        <rFont val="맑은 고딕"/>
        <family val="0"/>
        <charset val="1"/>
      </rPr>
      <t xml:space="preserve">) </t>
    </r>
    <r>
      <rPr>
        <b val="true"/>
        <sz val="10"/>
        <color rgb="FF1B2A4A"/>
        <rFont val="DejaVu Sans"/>
        <family val="2"/>
      </rPr>
      <t xml:space="preserve">업무 수</t>
    </r>
  </si>
  <si>
    <r>
      <rPr>
        <b val="true"/>
        <sz val="10"/>
        <color rgb="FF1B2A4A"/>
        <rFont val="맑은 고딕"/>
        <family val="0"/>
        <charset val="1"/>
      </rPr>
      <t xml:space="preserve">P</t>
    </r>
    <r>
      <rPr>
        <b val="true"/>
        <sz val="10"/>
        <color rgb="FF1B2A4A"/>
        <rFont val="DejaVu Sans"/>
        <family val="2"/>
      </rPr>
      <t xml:space="preserve">점수 전체 평균</t>
    </r>
  </si>
  <si>
    <r>
      <rPr>
        <b val="true"/>
        <sz val="10"/>
        <color rgb="FFFFFFFF"/>
        <rFont val="맑은 고딕"/>
        <family val="0"/>
        <charset val="1"/>
      </rPr>
      <t xml:space="preserve">ICEP 4</t>
    </r>
    <r>
      <rPr>
        <b val="true"/>
        <sz val="10"/>
        <color rgb="FFFFFFFF"/>
        <rFont val="DejaVu Sans"/>
        <family val="2"/>
      </rPr>
      <t xml:space="preserve">축 평가 기준 안내</t>
    </r>
  </si>
  <si>
    <r>
      <rPr>
        <b val="true"/>
        <sz val="10"/>
        <color rgb="FF2E5090"/>
        <rFont val="맑은 고딕"/>
        <family val="0"/>
        <charset val="1"/>
      </rPr>
      <t xml:space="preserve">I — Impact (</t>
    </r>
    <r>
      <rPr>
        <b val="true"/>
        <sz val="10"/>
        <color rgb="FF2E5090"/>
        <rFont val="DejaVu Sans"/>
        <family val="2"/>
      </rPr>
      <t xml:space="preserve">영향력</t>
    </r>
    <r>
      <rPr>
        <b val="true"/>
        <sz val="10"/>
        <color rgb="FF2E5090"/>
        <rFont val="맑은 고딕"/>
        <family val="0"/>
        <charset val="1"/>
      </rPr>
      <t xml:space="preserve">)</t>
    </r>
  </si>
  <si>
    <r>
      <rPr>
        <sz val="9"/>
        <color rgb="FF444444"/>
        <rFont val="DejaVu Sans"/>
        <family val="2"/>
      </rPr>
      <t xml:space="preserve">매출 기여도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비용 절감 규모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고객 만족도 영향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전략적 중요도</t>
    </r>
  </si>
  <si>
    <r>
      <rPr>
        <b val="true"/>
        <sz val="10"/>
        <color rgb="FF2E5090"/>
        <rFont val="맑은 고딕"/>
        <family val="0"/>
        <charset val="1"/>
      </rPr>
      <t xml:space="preserve">C — Confidence (</t>
    </r>
    <r>
      <rPr>
        <b val="true"/>
        <sz val="10"/>
        <color rgb="FF2E5090"/>
        <rFont val="DejaVu Sans"/>
        <family val="2"/>
      </rPr>
      <t xml:space="preserve">신뢰도</t>
    </r>
    <r>
      <rPr>
        <b val="true"/>
        <sz val="10"/>
        <color rgb="FF2E5090"/>
        <rFont val="맑은 고딕"/>
        <family val="0"/>
        <charset val="1"/>
      </rPr>
      <t xml:space="preserve">)</t>
    </r>
  </si>
  <si>
    <r>
      <rPr>
        <sz val="9"/>
        <color rgb="FF444444"/>
        <rFont val="맑은 고딕"/>
        <family val="0"/>
        <charset val="1"/>
      </rPr>
      <t xml:space="preserve">AI </t>
    </r>
    <r>
      <rPr>
        <sz val="9"/>
        <color rgb="FF444444"/>
        <rFont val="DejaVu Sans"/>
        <family val="2"/>
      </rPr>
      <t xml:space="preserve">출력물 정확도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환각 리스크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검수 필요도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기술 성숙도</t>
    </r>
  </si>
  <si>
    <r>
      <rPr>
        <b val="true"/>
        <sz val="10"/>
        <color rgb="FF2E5090"/>
        <rFont val="맑은 고딕"/>
        <family val="0"/>
        <charset val="1"/>
      </rPr>
      <t xml:space="preserve">E — Ease (</t>
    </r>
    <r>
      <rPr>
        <b val="true"/>
        <sz val="10"/>
        <color rgb="FF2E5090"/>
        <rFont val="DejaVu Sans"/>
        <family val="2"/>
      </rPr>
      <t xml:space="preserve">용이성</t>
    </r>
    <r>
      <rPr>
        <b val="true"/>
        <sz val="10"/>
        <color rgb="FF2E5090"/>
        <rFont val="맑은 고딕"/>
        <family val="0"/>
        <charset val="1"/>
      </rPr>
      <t xml:space="preserve">)</t>
    </r>
  </si>
  <si>
    <r>
      <rPr>
        <sz val="9"/>
        <color rgb="FF444444"/>
        <rFont val="DejaVu Sans"/>
        <family val="2"/>
      </rPr>
      <t xml:space="preserve">데이터 접근성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시스템 연동 난이도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예산 규모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조직 정치적 장벽</t>
    </r>
  </si>
  <si>
    <t xml:space="preserve">P — People Readiness ★</t>
  </si>
  <si>
    <r>
      <rPr>
        <sz val="9"/>
        <color rgb="FF444444"/>
        <rFont val="맑은 고딕"/>
        <family val="0"/>
        <charset val="1"/>
      </rPr>
      <t xml:space="preserve">AI </t>
    </r>
    <r>
      <rPr>
        <sz val="9"/>
        <color rgb="FF444444"/>
        <rFont val="DejaVu Sans"/>
        <family val="2"/>
      </rPr>
      <t xml:space="preserve">리터러시 수준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전환 역량 갭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팀장 </t>
    </r>
    <r>
      <rPr>
        <sz val="9"/>
        <color rgb="FF444444"/>
        <rFont val="맑은 고딕"/>
        <family val="0"/>
        <charset val="1"/>
      </rPr>
      <t xml:space="preserve">AX </t>
    </r>
    <r>
      <rPr>
        <sz val="9"/>
        <color rgb="FF444444"/>
        <rFont val="DejaVu Sans"/>
        <family val="2"/>
      </rPr>
      <t xml:space="preserve">적극성 </t>
    </r>
    <r>
      <rPr>
        <sz val="9"/>
        <color rgb="FF444444"/>
        <rFont val="맑은 고딕"/>
        <family val="0"/>
        <charset val="1"/>
      </rPr>
      <t xml:space="preserve">/ </t>
    </r>
    <r>
      <rPr>
        <sz val="9"/>
        <color rgb="FF444444"/>
        <rFont val="DejaVu Sans"/>
        <family val="2"/>
      </rPr>
      <t xml:space="preserve">팀 문화 실험 친화도</t>
    </r>
  </si>
  <si>
    <r>
      <rPr>
        <sz val="8"/>
        <color rgb="FF999999"/>
        <rFont val="맑은 고딕"/>
        <family val="0"/>
        <charset val="1"/>
      </rPr>
      <t xml:space="preserve">© 2026 FLOW~ | flowdesign.ai.kr | AI </t>
    </r>
    <r>
      <rPr>
        <sz val="8"/>
        <color rgb="FF999999"/>
        <rFont val="DejaVu Sans"/>
        <family val="2"/>
      </rPr>
      <t xml:space="preserve">코디네이터 임정훈</t>
    </r>
  </si>
  <si>
    <r>
      <rPr>
        <b val="true"/>
        <sz val="14"/>
        <color rgb="FF1B2A4A"/>
        <rFont val="맑은 고딕"/>
        <family val="0"/>
        <charset val="1"/>
      </rPr>
      <t xml:space="preserve">FLOW~ AX ROI </t>
    </r>
    <r>
      <rPr>
        <b val="true"/>
        <sz val="14"/>
        <color rgb="FF1B2A4A"/>
        <rFont val="DejaVu Sans"/>
        <family val="2"/>
      </rPr>
      <t xml:space="preserve">시뮬레이터 </t>
    </r>
    <r>
      <rPr>
        <b val="true"/>
        <sz val="14"/>
        <color rgb="FF1B2A4A"/>
        <rFont val="맑은 고딕"/>
        <family val="0"/>
        <charset val="1"/>
      </rPr>
      <t xml:space="preserve">v2.0 — 4</t>
    </r>
    <r>
      <rPr>
        <b val="true"/>
        <sz val="14"/>
        <color rgb="FF1B2A4A"/>
        <rFont val="DejaVu Sans"/>
        <family val="2"/>
      </rPr>
      <t xml:space="preserve">기둥 모델</t>
    </r>
  </si>
  <si>
    <r>
      <rPr>
        <i val="true"/>
        <sz val="9"/>
        <color rgb="FF666666"/>
        <rFont val="DejaVu Sans"/>
        <family val="2"/>
      </rPr>
      <t xml:space="preserve">투자 대비 효과를 수치로 증명합니다 </t>
    </r>
    <r>
      <rPr>
        <i val="true"/>
        <sz val="9"/>
        <color rgb="FF666666"/>
        <rFont val="맑은 고딕"/>
        <family val="0"/>
        <charset val="1"/>
      </rPr>
      <t xml:space="preserve">| ICEP </t>
    </r>
    <r>
      <rPr>
        <i val="true"/>
        <sz val="9"/>
        <color rgb="FF666666"/>
        <rFont val="DejaVu Sans"/>
        <family val="2"/>
      </rPr>
      <t xml:space="preserve">점수 연동</t>
    </r>
  </si>
  <si>
    <r>
      <rPr>
        <b val="true"/>
        <sz val="10"/>
        <color rgb="FFFFFFFF"/>
        <rFont val="맑은 고딕"/>
        <family val="0"/>
        <charset val="1"/>
      </rPr>
      <t xml:space="preserve">STEP 1: </t>
    </r>
    <r>
      <rPr>
        <b val="true"/>
        <sz val="10"/>
        <color rgb="FFFFFFFF"/>
        <rFont val="DejaVu Sans"/>
        <family val="2"/>
      </rPr>
      <t xml:space="preserve">총 투자액 입력</t>
    </r>
  </si>
  <si>
    <r>
      <rPr>
        <b val="true"/>
        <sz val="10"/>
        <color rgb="FF1B2A4A"/>
        <rFont val="DejaVu Sans"/>
        <family val="2"/>
      </rPr>
      <t xml:space="preserve">컨설팅</t>
    </r>
    <r>
      <rPr>
        <b val="true"/>
        <sz val="10"/>
        <color rgb="FF1B2A4A"/>
        <rFont val="맑은 고딕"/>
        <family val="0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퍼실리테이션 비용</t>
    </r>
  </si>
  <si>
    <t xml:space="preserve">원</t>
  </si>
  <si>
    <r>
      <rPr>
        <sz val="8"/>
        <color rgb="FF888888"/>
        <rFont val="맑은 고딕"/>
        <family val="0"/>
        <charset val="1"/>
      </rPr>
      <t xml:space="preserve">FLOW~ AX </t>
    </r>
    <r>
      <rPr>
        <sz val="8"/>
        <color rgb="FF888888"/>
        <rFont val="DejaVu Sans"/>
        <family val="2"/>
      </rPr>
      <t xml:space="preserve">방법론 수행 비용</t>
    </r>
  </si>
  <si>
    <r>
      <rPr>
        <b val="true"/>
        <sz val="10"/>
        <color rgb="FF1B2A4A"/>
        <rFont val="맑은 고딕"/>
        <family val="0"/>
        <charset val="1"/>
      </rPr>
      <t xml:space="preserve">AI </t>
    </r>
    <r>
      <rPr>
        <b val="true"/>
        <sz val="10"/>
        <color rgb="FF1B2A4A"/>
        <rFont val="DejaVu Sans"/>
        <family val="2"/>
      </rPr>
      <t xml:space="preserve">도구 라이선스 </t>
    </r>
    <r>
      <rPr>
        <b val="true"/>
        <sz val="10"/>
        <color rgb="FF1B2A4A"/>
        <rFont val="맑은 고딕"/>
        <family val="0"/>
        <charset val="1"/>
      </rPr>
      <t xml:space="preserve">(</t>
    </r>
    <r>
      <rPr>
        <b val="true"/>
        <sz val="10"/>
        <color rgb="FF1B2A4A"/>
        <rFont val="DejaVu Sans"/>
        <family val="2"/>
      </rPr>
      <t xml:space="preserve">연간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</si>
  <si>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원</t>
    </r>
    <r>
      <rPr>
        <sz val="10"/>
        <color rgb="FF333333"/>
        <rFont val="맑은 고딕"/>
        <family val="0"/>
        <charset val="1"/>
      </rPr>
      <t xml:space="preserve">/</t>
    </r>
    <r>
      <rPr>
        <sz val="10"/>
        <color rgb="FF333333"/>
        <rFont val="DejaVu Sans"/>
        <family val="2"/>
      </rPr>
      <t xml:space="preserve">년</t>
    </r>
  </si>
  <si>
    <r>
      <rPr>
        <sz val="8"/>
        <color rgb="FF888888"/>
        <rFont val="맑은 고딕"/>
        <family val="0"/>
        <charset val="1"/>
      </rPr>
      <t xml:space="preserve">ChatGPT, Claude, Gemini </t>
    </r>
    <r>
      <rPr>
        <sz val="8"/>
        <color rgb="FF888888"/>
        <rFont val="DejaVu Sans"/>
        <family val="2"/>
      </rPr>
      <t xml:space="preserve">등 도구 비용</t>
    </r>
  </si>
  <si>
    <r>
      <rPr>
        <b val="true"/>
        <sz val="10"/>
        <color rgb="FF1B2A4A"/>
        <rFont val="DejaVu Sans"/>
        <family val="2"/>
      </rPr>
      <t xml:space="preserve">내부 인건비 </t>
    </r>
    <r>
      <rPr>
        <b val="true"/>
        <sz val="10"/>
        <color rgb="FF1B2A4A"/>
        <rFont val="맑은 고딕"/>
        <family val="0"/>
        <charset val="1"/>
      </rPr>
      <t xml:space="preserve">(</t>
    </r>
    <r>
      <rPr>
        <b val="true"/>
        <sz val="10"/>
        <color rgb="FF1B2A4A"/>
        <rFont val="DejaVu Sans"/>
        <family val="2"/>
      </rPr>
      <t xml:space="preserve">프로젝트 투입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</si>
  <si>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sz val="8"/>
        <color rgb="FF888888"/>
        <rFont val="DejaVu Sans"/>
        <family val="2"/>
      </rPr>
      <t xml:space="preserve">내부 인력의 </t>
    </r>
    <r>
      <rPr>
        <sz val="8"/>
        <color rgb="FF888888"/>
        <rFont val="맑은 고딕"/>
        <family val="0"/>
        <charset val="1"/>
      </rPr>
      <t xml:space="preserve">AX </t>
    </r>
    <r>
      <rPr>
        <sz val="8"/>
        <color rgb="FF888888"/>
        <rFont val="DejaVu Sans"/>
        <family val="2"/>
      </rPr>
      <t xml:space="preserve">프로젝트 투입 인건비</t>
    </r>
  </si>
  <si>
    <t xml:space="preserve">교육비</t>
  </si>
  <si>
    <r>
      <rPr>
        <sz val="8"/>
        <color rgb="FF888888"/>
        <rFont val="맑은 고딕"/>
        <family val="0"/>
        <charset val="1"/>
      </rPr>
      <t xml:space="preserve">Phase 0 </t>
    </r>
    <r>
      <rPr>
        <sz val="8"/>
        <color rgb="FF888888"/>
        <rFont val="DejaVu Sans"/>
        <family val="2"/>
      </rPr>
      <t xml:space="preserve">리터러시 교육 </t>
    </r>
    <r>
      <rPr>
        <sz val="8"/>
        <color rgb="FF888888"/>
        <rFont val="맑은 고딕"/>
        <family val="0"/>
        <charset val="1"/>
      </rPr>
      <t xml:space="preserve">+ Champion </t>
    </r>
    <r>
      <rPr>
        <sz val="8"/>
        <color rgb="FF888888"/>
        <rFont val="DejaVu Sans"/>
        <family val="2"/>
      </rPr>
      <t xml:space="preserve">육성 비용</t>
    </r>
  </si>
  <si>
    <r>
      <rPr>
        <b val="true"/>
        <sz val="10"/>
        <color rgb="FF1B2A4A"/>
        <rFont val="DejaVu Sans"/>
        <family val="2"/>
      </rPr>
      <t xml:space="preserve">인프라</t>
    </r>
    <r>
      <rPr>
        <b val="true"/>
        <sz val="10"/>
        <color rgb="FF1B2A4A"/>
        <rFont val="맑은 고딕"/>
        <family val="0"/>
        <charset val="1"/>
      </rPr>
      <t xml:space="preserve">/</t>
    </r>
    <r>
      <rPr>
        <b val="true"/>
        <sz val="10"/>
        <color rgb="FF1B2A4A"/>
        <rFont val="DejaVu Sans"/>
        <family val="2"/>
      </rPr>
      <t xml:space="preserve">시스템 비용</t>
    </r>
  </si>
  <si>
    <r>
      <rPr>
        <sz val="8"/>
        <color rgb="FF888888"/>
        <rFont val="DejaVu Sans"/>
        <family val="2"/>
      </rPr>
      <t xml:space="preserve">클라우드</t>
    </r>
    <r>
      <rPr>
        <sz val="8"/>
        <color rgb="FF888888"/>
        <rFont val="맑은 고딕"/>
        <family val="0"/>
        <charset val="1"/>
      </rPr>
      <t xml:space="preserve">, </t>
    </r>
    <r>
      <rPr>
        <sz val="8"/>
        <color rgb="FF888888"/>
        <rFont val="DejaVu Sans"/>
        <family val="2"/>
      </rPr>
      <t xml:space="preserve">연동 개발 등</t>
    </r>
  </si>
  <si>
    <r>
      <rPr>
        <b val="true"/>
        <sz val="11"/>
        <color rgb="FFFFFFFF"/>
        <rFont val="DejaVu Sans"/>
        <family val="2"/>
      </rPr>
      <t xml:space="preserve">총 투자액 </t>
    </r>
    <r>
      <rPr>
        <b val="true"/>
        <sz val="11"/>
        <color rgb="FFFFFFFF"/>
        <rFont val="맑은 고딕"/>
        <family val="0"/>
        <charset val="1"/>
      </rPr>
      <t xml:space="preserve">(Year 1)</t>
    </r>
  </si>
  <si>
    <r>
      <rPr>
        <b val="true"/>
        <sz val="10"/>
        <color rgb="FFFFFFFF"/>
        <rFont val="맑은 고딕"/>
        <family val="0"/>
        <charset val="1"/>
      </rPr>
      <t xml:space="preserve">STEP 2: 4</t>
    </r>
    <r>
      <rPr>
        <b val="true"/>
        <sz val="10"/>
        <color rgb="FFFFFFFF"/>
        <rFont val="DejaVu Sans"/>
        <family val="2"/>
      </rPr>
      <t xml:space="preserve">기둥 편익 계산</t>
    </r>
  </si>
  <si>
    <r>
      <rPr>
        <b val="true"/>
        <sz val="10"/>
        <color rgb="FFFFFFFF"/>
        <rFont val="DejaVu Sans"/>
        <family val="2"/>
      </rPr>
      <t xml:space="preserve">기둥 </t>
    </r>
    <r>
      <rPr>
        <b val="true"/>
        <sz val="10"/>
        <color rgb="FFFFFFFF"/>
        <rFont val="맑은 고딕"/>
        <family val="0"/>
        <charset val="1"/>
      </rPr>
      <t xml:space="preserve">1: </t>
    </r>
    <r>
      <rPr>
        <b val="true"/>
        <sz val="10"/>
        <color rgb="FFFFFFFF"/>
        <rFont val="DejaVu Sans"/>
        <family val="2"/>
      </rPr>
      <t xml:space="preserve">효율성 </t>
    </r>
    <r>
      <rPr>
        <b val="true"/>
        <sz val="10"/>
        <color rgb="FFFFFFFF"/>
        <rFont val="맑은 고딕"/>
        <family val="0"/>
        <charset val="1"/>
      </rPr>
      <t xml:space="preserve">(Efficiency) — </t>
    </r>
    <r>
      <rPr>
        <b val="true"/>
        <sz val="10"/>
        <color rgb="FFFFFFFF"/>
        <rFont val="DejaVu Sans"/>
        <family val="2"/>
      </rPr>
      <t xml:space="preserve">가중치 </t>
    </r>
    <r>
      <rPr>
        <b val="true"/>
        <sz val="10"/>
        <color rgb="FFFFFFFF"/>
        <rFont val="맑은 고딕"/>
        <family val="0"/>
        <charset val="1"/>
      </rPr>
      <t xml:space="preserve">40~50%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</si>
  <si>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자동화 대상 </t>
    </r>
    <r>
      <rPr>
        <sz val="10"/>
        <color rgb="FF333333"/>
        <rFont val="맑은 고딕"/>
        <family val="0"/>
        <charset val="1"/>
      </rPr>
      <t xml:space="preserve">FTE </t>
    </r>
    <r>
      <rPr>
        <sz val="10"/>
        <color rgb="FF333333"/>
        <rFont val="DejaVu Sans"/>
        <family val="2"/>
      </rPr>
      <t xml:space="preserve">수</t>
    </r>
  </si>
  <si>
    <t xml:space="preserve">명</t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</si>
  <si>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평균 연봉 </t>
    </r>
    <r>
      <rPr>
        <sz val="10"/>
        <color rgb="FF333333"/>
        <rFont val="맑은 고딕"/>
        <family val="0"/>
        <charset val="1"/>
      </rPr>
      <t xml:space="preserve">(1</t>
    </r>
    <r>
      <rPr>
        <sz val="10"/>
        <color rgb="FF333333"/>
        <rFont val="DejaVu Sans"/>
        <family val="2"/>
      </rPr>
      <t xml:space="preserve">인</t>
    </r>
    <r>
      <rPr>
        <sz val="10"/>
        <color rgb="FF333333"/>
        <rFont val="맑은 고딕"/>
        <family val="0"/>
        <charset val="1"/>
      </rPr>
      <t xml:space="preserve">)</t>
    </r>
  </si>
  <si>
    <r>
      <rPr>
        <sz val="10"/>
        <color rgb="FF333333"/>
        <rFont val="맑은 고딕"/>
        <family val="0"/>
        <charset val="1"/>
      </rPr>
      <t xml:space="preserve">  · FTE </t>
    </r>
    <r>
      <rPr>
        <sz val="10"/>
        <color rgb="FF333333"/>
        <rFont val="DejaVu Sans"/>
        <family val="2"/>
      </rPr>
      <t xml:space="preserve">절감 비율 </t>
    </r>
    <r>
      <rPr>
        <sz val="10"/>
        <color rgb="FF333333"/>
        <rFont val="맑은 고딕"/>
        <family val="0"/>
        <charset val="1"/>
      </rPr>
      <t xml:space="preserve">(%)</t>
    </r>
  </si>
  <si>
    <t xml:space="preserve">%</t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</si>
  <si>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생산성 향상 대상 인원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</si>
  <si>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생산성 향상률 </t>
    </r>
    <r>
      <rPr>
        <sz val="10"/>
        <color rgb="FF333333"/>
        <rFont val="맑은 고딕"/>
        <family val="0"/>
        <charset val="1"/>
      </rPr>
      <t xml:space="preserve">(%)</t>
    </r>
  </si>
  <si>
    <t xml:space="preserve">효율성 연간 절감액</t>
  </si>
  <si>
    <r>
      <rPr>
        <b val="true"/>
        <sz val="10"/>
        <color rgb="FFFFFFFF"/>
        <rFont val="DejaVu Sans"/>
        <family val="2"/>
      </rPr>
      <t xml:space="preserve">기둥 </t>
    </r>
    <r>
      <rPr>
        <b val="true"/>
        <sz val="10"/>
        <color rgb="FFFFFFFF"/>
        <rFont val="맑은 고딕"/>
        <family val="0"/>
        <charset val="1"/>
      </rPr>
      <t xml:space="preserve">2: </t>
    </r>
    <r>
      <rPr>
        <b val="true"/>
        <sz val="10"/>
        <color rgb="FFFFFFFF"/>
        <rFont val="DejaVu Sans"/>
        <family val="2"/>
      </rPr>
      <t xml:space="preserve">수익 증대 </t>
    </r>
    <r>
      <rPr>
        <b val="true"/>
        <sz val="10"/>
        <color rgb="FFFFFFFF"/>
        <rFont val="맑은 고딕"/>
        <family val="0"/>
        <charset val="1"/>
      </rPr>
      <t xml:space="preserve">(Revenue) — </t>
    </r>
    <r>
      <rPr>
        <b val="true"/>
        <sz val="10"/>
        <color rgb="FFFFFFFF"/>
        <rFont val="DejaVu Sans"/>
        <family val="2"/>
      </rPr>
      <t xml:space="preserve">가중치 </t>
    </r>
    <r>
      <rPr>
        <b val="true"/>
        <sz val="10"/>
        <color rgb="FFFFFFFF"/>
        <rFont val="맑은 고딕"/>
        <family val="0"/>
        <charset val="1"/>
      </rPr>
      <t xml:space="preserve">20~25%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</si>
  <si>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기존 관련 매출액 </t>
    </r>
    <r>
      <rPr>
        <sz val="10"/>
        <color rgb="FF333333"/>
        <rFont val="맑은 고딕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연간</t>
    </r>
    <r>
      <rPr>
        <sz val="10"/>
        <color rgb="FF333333"/>
        <rFont val="맑은 고딕"/>
        <family val="0"/>
        <charset val="1"/>
      </rPr>
      <t xml:space="preserve">)</t>
    </r>
  </si>
  <si>
    <r>
      <rPr>
        <sz val="10"/>
        <color rgb="FF333333"/>
        <rFont val="맑은 고딕"/>
        <family val="0"/>
        <charset val="1"/>
      </rPr>
      <t xml:space="preserve">  · AI </t>
    </r>
    <r>
      <rPr>
        <sz val="10"/>
        <color rgb="FF333333"/>
        <rFont val="DejaVu Sans"/>
        <family val="2"/>
      </rPr>
      <t xml:space="preserve">도입 후 매출 증가율 </t>
    </r>
    <r>
      <rPr>
        <sz val="10"/>
        <color rgb="FF333333"/>
        <rFont val="맑은 고딕"/>
        <family val="0"/>
        <charset val="1"/>
      </rPr>
      <t xml:space="preserve">(%)</t>
    </r>
  </si>
  <si>
    <t xml:space="preserve">수익 증대 연간 금액</t>
  </si>
  <si>
    <r>
      <rPr>
        <b val="true"/>
        <sz val="10"/>
        <color rgb="FFFFFFFF"/>
        <rFont val="DejaVu Sans"/>
        <family val="2"/>
      </rPr>
      <t xml:space="preserve">기둥 </t>
    </r>
    <r>
      <rPr>
        <b val="true"/>
        <sz val="10"/>
        <color rgb="FFFFFFFF"/>
        <rFont val="맑은 고딕"/>
        <family val="0"/>
        <charset val="1"/>
      </rPr>
      <t xml:space="preserve">3: </t>
    </r>
    <r>
      <rPr>
        <b val="true"/>
        <sz val="10"/>
        <color rgb="FFFFFFFF"/>
        <rFont val="DejaVu Sans"/>
        <family val="2"/>
      </rPr>
      <t xml:space="preserve">리스크 완화 </t>
    </r>
    <r>
      <rPr>
        <b val="true"/>
        <sz val="10"/>
        <color rgb="FFFFFFFF"/>
        <rFont val="맑은 고딕"/>
        <family val="0"/>
        <charset val="1"/>
      </rPr>
      <t xml:space="preserve">(Risk Mitigation) — </t>
    </r>
    <r>
      <rPr>
        <b val="true"/>
        <sz val="10"/>
        <color rgb="FFFFFFFF"/>
        <rFont val="DejaVu Sans"/>
        <family val="2"/>
      </rPr>
      <t xml:space="preserve">가중치 </t>
    </r>
    <r>
      <rPr>
        <b val="true"/>
        <sz val="10"/>
        <color rgb="FFFFFFFF"/>
        <rFont val="맑은 고딕"/>
        <family val="0"/>
        <charset val="1"/>
      </rPr>
      <t xml:space="preserve">20~25%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</si>
  <si>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연간 평균 리스크 손실액 </t>
    </r>
    <r>
      <rPr>
        <sz val="10"/>
        <color rgb="FF333333"/>
        <rFont val="맑은 고딕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오류</t>
    </r>
    <r>
      <rPr>
        <sz val="10"/>
        <color rgb="FF333333"/>
        <rFont val="맑은 고딕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벌금</t>
    </r>
    <r>
      <rPr>
        <sz val="10"/>
        <color rgb="FF333333"/>
        <rFont val="맑은 고딕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사고</t>
    </r>
    <r>
      <rPr>
        <sz val="10"/>
        <color rgb="FF333333"/>
        <rFont val="맑은 고딕"/>
        <family val="0"/>
        <charset val="1"/>
      </rPr>
      <t xml:space="preserve">)</t>
    </r>
  </si>
  <si>
    <r>
      <rPr>
        <sz val="10"/>
        <color rgb="FF333333"/>
        <rFont val="맑은 고딕"/>
        <family val="0"/>
        <charset val="1"/>
      </rPr>
      <t xml:space="preserve">  · AI </t>
    </r>
    <r>
      <rPr>
        <sz val="10"/>
        <color rgb="FF333333"/>
        <rFont val="DejaVu Sans"/>
        <family val="2"/>
      </rPr>
      <t xml:space="preserve">도입 후 리스크 감소율 </t>
    </r>
    <r>
      <rPr>
        <sz val="10"/>
        <color rgb="FF333333"/>
        <rFont val="맑은 고딕"/>
        <family val="0"/>
        <charset val="1"/>
      </rPr>
      <t xml:space="preserve">(%)</t>
    </r>
  </si>
  <si>
    <t xml:space="preserve">리스크 회피 연간 금액</t>
  </si>
  <si>
    <r>
      <rPr>
        <b val="true"/>
        <sz val="10"/>
        <color rgb="FFFFFFFF"/>
        <rFont val="DejaVu Sans"/>
        <family val="2"/>
      </rPr>
      <t xml:space="preserve">기둥 </t>
    </r>
    <r>
      <rPr>
        <b val="true"/>
        <sz val="10"/>
        <color rgb="FFFFFFFF"/>
        <rFont val="맑은 고딕"/>
        <family val="0"/>
        <charset val="1"/>
      </rPr>
      <t xml:space="preserve">4: </t>
    </r>
    <r>
      <rPr>
        <b val="true"/>
        <sz val="10"/>
        <color rgb="FFFFFFFF"/>
        <rFont val="DejaVu Sans"/>
        <family val="2"/>
      </rPr>
      <t xml:space="preserve">비즈니스 민첩성 </t>
    </r>
    <r>
      <rPr>
        <b val="true"/>
        <sz val="10"/>
        <color rgb="FFFFFFFF"/>
        <rFont val="맑은 고딕"/>
        <family val="0"/>
        <charset val="1"/>
      </rPr>
      <t xml:space="preserve">(Agility) — </t>
    </r>
    <r>
      <rPr>
        <b val="true"/>
        <sz val="10"/>
        <color rgb="FFFFFFFF"/>
        <rFont val="DejaVu Sans"/>
        <family val="2"/>
      </rPr>
      <t xml:space="preserve">가중치 </t>
    </r>
    <r>
      <rPr>
        <b val="true"/>
        <sz val="10"/>
        <color rgb="FFFFFFFF"/>
        <rFont val="맑은 고딕"/>
        <family val="0"/>
        <charset val="1"/>
      </rPr>
      <t xml:space="preserve">10~15%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</si>
  <si>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의사결정 속도 향상으로 인한 기회 가치 </t>
    </r>
    <r>
      <rPr>
        <sz val="10"/>
        <color rgb="FF333333"/>
        <rFont val="맑은 고딕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연간 추정</t>
    </r>
    <r>
      <rPr>
        <sz val="10"/>
        <color rgb="FF333333"/>
        <rFont val="맑은 고딕"/>
        <family val="0"/>
        <charset val="1"/>
      </rPr>
      <t xml:space="preserve">)</t>
    </r>
  </si>
  <si>
    <r>
      <rPr>
        <sz val="10"/>
        <color rgb="FF333333"/>
        <rFont val="맑은 고딕"/>
        <family val="0"/>
        <charset val="1"/>
      </rPr>
      <t xml:space="preserve">  · </t>
    </r>
    <r>
      <rPr>
        <sz val="10"/>
        <color rgb="FF333333"/>
        <rFont val="DejaVu Sans"/>
        <family val="2"/>
      </rPr>
      <t xml:space="preserve">이탈률 감소로 인한 재교육비 절감 </t>
    </r>
    <r>
      <rPr>
        <sz val="10"/>
        <color rgb="FF333333"/>
        <rFont val="맑은 고딕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연간 추정</t>
    </r>
    <r>
      <rPr>
        <sz val="10"/>
        <color rgb="FF333333"/>
        <rFont val="맑은 고딕"/>
        <family val="0"/>
        <charset val="1"/>
      </rPr>
      <t xml:space="preserve">)</t>
    </r>
  </si>
  <si>
    <t xml:space="preserve">민첩성 연간 가치</t>
  </si>
  <si>
    <r>
      <rPr>
        <b val="true"/>
        <sz val="10"/>
        <color rgb="FFFFFFFF"/>
        <rFont val="맑은 고딕"/>
        <family val="0"/>
        <charset val="1"/>
      </rPr>
      <t xml:space="preserve">STEP 3: ROI </t>
    </r>
    <r>
      <rPr>
        <b val="true"/>
        <sz val="10"/>
        <color rgb="FFFFFFFF"/>
        <rFont val="DejaVu Sans"/>
        <family val="2"/>
      </rPr>
      <t xml:space="preserve">계산 결과</t>
    </r>
  </si>
  <si>
    <r>
      <rPr>
        <b val="true"/>
        <sz val="11"/>
        <color rgb="FF1B2A4A"/>
        <rFont val="DejaVu Sans"/>
        <family val="2"/>
      </rPr>
      <t xml:space="preserve">총 편익 </t>
    </r>
    <r>
      <rPr>
        <b val="true"/>
        <sz val="11"/>
        <color rgb="FF1B2A4A"/>
        <rFont val="맑은 고딕"/>
        <family val="0"/>
        <charset val="1"/>
      </rPr>
      <t xml:space="preserve">(</t>
    </r>
    <r>
      <rPr>
        <b val="true"/>
        <sz val="11"/>
        <color rgb="FF1B2A4A"/>
        <rFont val="DejaVu Sans"/>
        <family val="2"/>
      </rPr>
      <t xml:space="preserve">연간</t>
    </r>
    <r>
      <rPr>
        <b val="true"/>
        <sz val="11"/>
        <color rgb="FF1B2A4A"/>
        <rFont val="맑은 고딕"/>
        <family val="0"/>
        <charset val="1"/>
      </rPr>
      <t xml:space="preserve">)</t>
    </r>
  </si>
  <si>
    <r>
      <rPr>
        <b val="true"/>
        <sz val="11"/>
        <color rgb="FF1B2A4A"/>
        <rFont val="DejaVu Sans"/>
        <family val="2"/>
      </rPr>
      <t xml:space="preserve">총 투자액 </t>
    </r>
    <r>
      <rPr>
        <b val="true"/>
        <sz val="11"/>
        <color rgb="FF1B2A4A"/>
        <rFont val="맑은 고딕"/>
        <family val="0"/>
        <charset val="1"/>
      </rPr>
      <t xml:space="preserve">(Year 1)</t>
    </r>
  </si>
  <si>
    <r>
      <rPr>
        <b val="true"/>
        <sz val="11"/>
        <color rgb="FF1B2A4A"/>
        <rFont val="DejaVu Sans"/>
        <family val="2"/>
      </rPr>
      <t xml:space="preserve">순이익 </t>
    </r>
    <r>
      <rPr>
        <b val="true"/>
        <sz val="11"/>
        <color rgb="FF1B2A4A"/>
        <rFont val="맑은 고딕"/>
        <family val="0"/>
        <charset val="1"/>
      </rPr>
      <t xml:space="preserve">(</t>
    </r>
    <r>
      <rPr>
        <b val="true"/>
        <sz val="11"/>
        <color rgb="FF1B2A4A"/>
        <rFont val="DejaVu Sans"/>
        <family val="2"/>
      </rPr>
      <t xml:space="preserve">편익 </t>
    </r>
    <r>
      <rPr>
        <b val="true"/>
        <sz val="11"/>
        <color rgb="FF1B2A4A"/>
        <rFont val="맑은 고딕"/>
        <family val="0"/>
        <charset val="1"/>
      </rPr>
      <t xml:space="preserve">- </t>
    </r>
    <r>
      <rPr>
        <b val="true"/>
        <sz val="11"/>
        <color rgb="FF1B2A4A"/>
        <rFont val="DejaVu Sans"/>
        <family val="2"/>
      </rPr>
      <t xml:space="preserve">투자</t>
    </r>
    <r>
      <rPr>
        <b val="true"/>
        <sz val="11"/>
        <color rgb="FF1B2A4A"/>
        <rFont val="맑은 고딕"/>
        <family val="0"/>
        <charset val="1"/>
      </rPr>
      <t xml:space="preserve">)</t>
    </r>
  </si>
  <si>
    <t xml:space="preserve">ROI (%)</t>
  </si>
  <si>
    <r>
      <rPr>
        <b val="true"/>
        <sz val="11"/>
        <color rgb="FF1B2A4A"/>
        <rFont val="DejaVu Sans"/>
        <family val="2"/>
      </rPr>
      <t xml:space="preserve">투자 회수 기간 </t>
    </r>
    <r>
      <rPr>
        <b val="true"/>
        <sz val="11"/>
        <color rgb="FF1B2A4A"/>
        <rFont val="맑은 고딕"/>
        <family val="0"/>
        <charset val="1"/>
      </rPr>
      <t xml:space="preserve">(</t>
    </r>
    <r>
      <rPr>
        <b val="true"/>
        <sz val="11"/>
        <color rgb="FF1B2A4A"/>
        <rFont val="DejaVu Sans"/>
        <family val="2"/>
      </rPr>
      <t xml:space="preserve">개월</t>
    </r>
    <r>
      <rPr>
        <b val="true"/>
        <sz val="11"/>
        <color rgb="FF1B2A4A"/>
        <rFont val="맑은 고딕"/>
        <family val="0"/>
        <charset val="1"/>
      </rPr>
      <t xml:space="preserve">)</t>
    </r>
  </si>
  <si>
    <t xml:space="preserve">개월</t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</si>
  <si>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년 </t>
    </r>
    <r>
      <rPr>
        <b val="true"/>
        <sz val="10"/>
        <color rgb="FFFFFFFF"/>
        <rFont val="맑은 고딕"/>
        <family val="0"/>
        <charset val="1"/>
      </rPr>
      <t xml:space="preserve">ROI </t>
    </r>
    <r>
      <rPr>
        <b val="true"/>
        <sz val="10"/>
        <color rgb="FFFFFFFF"/>
        <rFont val="DejaVu Sans"/>
        <family val="2"/>
      </rPr>
      <t xml:space="preserve">전망 </t>
    </r>
    <r>
      <rPr>
        <b val="true"/>
        <sz val="10"/>
        <color rgb="FFFFFFFF"/>
        <rFont val="맑은 고딕"/>
        <family val="0"/>
        <charset val="1"/>
      </rPr>
      <t xml:space="preserve">(Year 2~3</t>
    </r>
    <r>
      <rPr>
        <b val="true"/>
        <sz val="10"/>
        <color rgb="FFFFFFFF"/>
        <rFont val="DejaVu Sans"/>
        <family val="2"/>
      </rPr>
      <t xml:space="preserve">은 재투자액만 발생 가정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</si>
  <si>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Year 1 ROI</t>
  </si>
  <si>
    <r>
      <rPr>
        <b val="true"/>
        <sz val="10"/>
        <color rgb="FF1B2A4A"/>
        <rFont val="맑은 고딕"/>
        <family val="0"/>
        <charset val="1"/>
      </rPr>
      <t xml:space="preserve">Year 2 ROI (</t>
    </r>
    <r>
      <rPr>
        <b val="true"/>
        <sz val="10"/>
        <color rgb="FF1B2A4A"/>
        <rFont val="DejaVu Sans"/>
        <family val="2"/>
      </rPr>
      <t xml:space="preserve">재투자 </t>
    </r>
    <r>
      <rPr>
        <b val="true"/>
        <sz val="10"/>
        <color rgb="FF1B2A4A"/>
        <rFont val="맑은 고딕"/>
        <family val="0"/>
        <charset val="1"/>
      </rPr>
      <t xml:space="preserve">50% </t>
    </r>
    <r>
      <rPr>
        <b val="true"/>
        <sz val="10"/>
        <color rgb="FF1B2A4A"/>
        <rFont val="DejaVu Sans"/>
        <family val="2"/>
      </rPr>
      <t xml:space="preserve">가정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</si>
  <si>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맑은 고딕"/>
        <family val="0"/>
        <charset val="1"/>
      </rPr>
      <t xml:space="preserve">Year 3 ROI (</t>
    </r>
    <r>
      <rPr>
        <b val="true"/>
        <sz val="10"/>
        <color rgb="FF1B2A4A"/>
        <rFont val="DejaVu Sans"/>
        <family val="2"/>
      </rPr>
      <t xml:space="preserve">재투자 </t>
    </r>
    <r>
      <rPr>
        <b val="true"/>
        <sz val="10"/>
        <color rgb="FF1B2A4A"/>
        <rFont val="맑은 고딕"/>
        <family val="0"/>
        <charset val="1"/>
      </rPr>
      <t xml:space="preserve">40% </t>
    </r>
    <r>
      <rPr>
        <b val="true"/>
        <sz val="10"/>
        <color rgb="FF1B2A4A"/>
        <rFont val="DejaVu Sans"/>
        <family val="2"/>
      </rPr>
      <t xml:space="preserve">가정</t>
    </r>
    <r>
      <rPr>
        <b val="true"/>
        <sz val="10"/>
        <color rgb="FF1B2A4A"/>
        <rFont val="맑은 고딕"/>
        <family val="0"/>
        <charset val="1"/>
      </rPr>
      <t xml:space="preserve">)</t>
    </r>
  </si>
  <si>
    <r>
      <rPr>
        <b val="true"/>
        <sz val="10"/>
        <color rgb="FF1B2A4A"/>
        <rFont val="맑은 고딕"/>
        <family val="0"/>
        <charset val="1"/>
      </rPr>
      <t xml:space="preserve">3</t>
    </r>
    <r>
      <rPr>
        <b val="true"/>
        <sz val="10"/>
        <color rgb="FF1B2A4A"/>
        <rFont val="DejaVu Sans"/>
        <family val="2"/>
      </rPr>
      <t xml:space="preserve">년 누적 순이익</t>
    </r>
  </si>
  <si>
    <r>
      <rPr>
        <sz val="8"/>
        <color rgb="FF999999"/>
        <rFont val="맑은 고딕"/>
        <family val="0"/>
        <charset val="1"/>
      </rPr>
      <t xml:space="preserve">© 2026 FLOW~ | 4</t>
    </r>
    <r>
      <rPr>
        <sz val="8"/>
        <color rgb="FF999999"/>
        <rFont val="DejaVu Sans"/>
        <family val="2"/>
      </rPr>
      <t xml:space="preserve">기둥 </t>
    </r>
    <r>
      <rPr>
        <sz val="8"/>
        <color rgb="FF999999"/>
        <rFont val="맑은 고딕"/>
        <family val="0"/>
        <charset val="1"/>
      </rPr>
      <t xml:space="preserve">ROI </t>
    </r>
    <r>
      <rPr>
        <sz val="8"/>
        <color rgb="FF999999"/>
        <rFont val="DejaVu Sans"/>
        <family val="2"/>
      </rPr>
      <t xml:space="preserve">모델</t>
    </r>
    <r>
      <rPr>
        <sz val="8"/>
        <color rgb="FF999999"/>
        <rFont val="맑은 고딕"/>
        <family val="0"/>
        <charset val="1"/>
      </rPr>
      <t xml:space="preserve">: </t>
    </r>
    <r>
      <rPr>
        <sz val="8"/>
        <color rgb="FF999999"/>
        <rFont val="DejaVu Sans"/>
        <family val="2"/>
      </rPr>
      <t xml:space="preserve">효율성 </t>
    </r>
    <r>
      <rPr>
        <sz val="8"/>
        <color rgb="FF999999"/>
        <rFont val="맑은 고딕"/>
        <family val="0"/>
        <charset val="1"/>
      </rPr>
      <t xml:space="preserve">+ </t>
    </r>
    <r>
      <rPr>
        <sz val="8"/>
        <color rgb="FF999999"/>
        <rFont val="DejaVu Sans"/>
        <family val="2"/>
      </rPr>
      <t xml:space="preserve">수익 </t>
    </r>
    <r>
      <rPr>
        <sz val="8"/>
        <color rgb="FF999999"/>
        <rFont val="맑은 고딕"/>
        <family val="0"/>
        <charset val="1"/>
      </rPr>
      <t xml:space="preserve">+ </t>
    </r>
    <r>
      <rPr>
        <sz val="8"/>
        <color rgb="FF999999"/>
        <rFont val="DejaVu Sans"/>
        <family val="2"/>
      </rPr>
      <t xml:space="preserve">리스크 </t>
    </r>
    <r>
      <rPr>
        <sz val="8"/>
        <color rgb="FF999999"/>
        <rFont val="맑은 고딕"/>
        <family val="0"/>
        <charset val="1"/>
      </rPr>
      <t xml:space="preserve">+ </t>
    </r>
    <r>
      <rPr>
        <sz val="8"/>
        <color rgb="FF999999"/>
        <rFont val="DejaVu Sans"/>
        <family val="2"/>
      </rPr>
      <t xml:space="preserve">민첩성 </t>
    </r>
    <r>
      <rPr>
        <sz val="8"/>
        <color rgb="FF999999"/>
        <rFont val="맑은 고딕"/>
        <family val="0"/>
        <charset val="1"/>
      </rPr>
      <t xml:space="preserve">| flowdesign.ai.kr</t>
    </r>
  </si>
  <si>
    <r>
      <rPr>
        <b val="true"/>
        <sz val="14"/>
        <color rgb="FF1B2A4A"/>
        <rFont val="맑은 고딕"/>
        <family val="0"/>
        <charset val="1"/>
      </rPr>
      <t xml:space="preserve">ICE vs ICEP </t>
    </r>
    <r>
      <rPr>
        <b val="true"/>
        <sz val="14"/>
        <color rgb="FF1B2A4A"/>
        <rFont val="DejaVu Sans"/>
        <family val="2"/>
      </rPr>
      <t xml:space="preserve">비교 — </t>
    </r>
    <r>
      <rPr>
        <b val="true"/>
        <sz val="14"/>
        <color rgb="FF1B2A4A"/>
        <rFont val="맑은 고딕"/>
        <family val="0"/>
        <charset val="1"/>
      </rPr>
      <t xml:space="preserve">P</t>
    </r>
    <r>
      <rPr>
        <b val="true"/>
        <sz val="14"/>
        <color rgb="FF1B2A4A"/>
        <rFont val="DejaVu Sans"/>
        <family val="2"/>
      </rPr>
      <t xml:space="preserve">축이 만드는 차이</t>
    </r>
  </si>
  <si>
    <r>
      <rPr>
        <b val="true"/>
        <sz val="10"/>
        <color rgb="FFFFFFFF"/>
        <rFont val="DejaVu Sans"/>
        <family val="2"/>
      </rPr>
      <t xml:space="preserve">예시</t>
    </r>
    <r>
      <rPr>
        <b val="true"/>
        <sz val="10"/>
        <color rgb="FFFFFFFF"/>
        <rFont val="맑은 고딕"/>
        <family val="0"/>
        <charset val="1"/>
      </rPr>
      <t xml:space="preserve">: </t>
    </r>
    <r>
      <rPr>
        <b val="true"/>
        <sz val="10"/>
        <color rgb="FFFFFFFF"/>
        <rFont val="DejaVu Sans"/>
        <family val="2"/>
      </rPr>
      <t xml:space="preserve">재무팀 월간 보고서 자동 생성</t>
    </r>
  </si>
  <si>
    <t xml:space="preserve">업무</t>
  </si>
  <si>
    <r>
      <rPr>
        <b val="true"/>
        <sz val="9"/>
        <color rgb="FFFFFFFF"/>
        <rFont val="맑은 고딕"/>
        <family val="0"/>
        <charset val="1"/>
      </rPr>
      <t xml:space="preserve">I(</t>
    </r>
    <r>
      <rPr>
        <b val="true"/>
        <sz val="9"/>
        <color rgb="FFFFFFFF"/>
        <rFont val="DejaVu Sans"/>
        <family val="2"/>
      </rPr>
      <t xml:space="preserve">영향력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</si>
  <si>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C(</t>
    </r>
    <r>
      <rPr>
        <b val="true"/>
        <sz val="9"/>
        <color rgb="FFFFFFFF"/>
        <rFont val="DejaVu Sans"/>
        <family val="2"/>
      </rPr>
      <t xml:space="preserve">신뢰도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</si>
  <si>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E(</t>
    </r>
    <r>
      <rPr>
        <b val="true"/>
        <sz val="9"/>
        <color rgb="FFFFFFFF"/>
        <rFont val="DejaVu Sans"/>
        <family val="2"/>
      </rPr>
      <t xml:space="preserve">용이성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</si>
  <si>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맑은 고딕"/>
        <family val="0"/>
        <charset val="1"/>
      </rPr>
      <t xml:space="preserve">P(</t>
    </r>
    <r>
      <rPr>
        <b val="true"/>
        <sz val="9"/>
        <color rgb="FFFFFFFF"/>
        <rFont val="DejaVu Sans"/>
        <family val="2"/>
      </rPr>
      <t xml:space="preserve">사람준비도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</si>
  <si>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평균</t>
  </si>
  <si>
    <t xml:space="preserve">판정</t>
  </si>
  <si>
    <t xml:space="preserve">ICE</t>
  </si>
  <si>
    <t xml:space="preserve">재무 보고서 자동화</t>
  </si>
  <si>
    <t xml:space="preserve">—</t>
  </si>
  <si>
    <t xml:space="preserve">즉시 실행</t>
  </si>
  <si>
    <t xml:space="preserve">ICEP</t>
  </si>
  <si>
    <t xml:space="preserve">단기 실행으로 조정</t>
  </si>
  <si>
    <r>
      <rPr>
        <sz val="10"/>
        <color rgb="FFC00000"/>
        <rFont val="맑은 고딕"/>
        <family val="0"/>
        <charset val="1"/>
      </rPr>
      <t xml:space="preserve">★ P</t>
    </r>
    <r>
      <rPr>
        <sz val="10"/>
        <color rgb="FFC00000"/>
        <rFont val="DejaVu Sans"/>
        <family val="2"/>
      </rPr>
      <t xml:space="preserve">점수가 </t>
    </r>
    <r>
      <rPr>
        <sz val="10"/>
        <color rgb="FFC00000"/>
        <rFont val="맑은 고딕"/>
        <family val="0"/>
        <charset val="1"/>
      </rPr>
      <t xml:space="preserve">3</t>
    </r>
    <r>
      <rPr>
        <sz val="10"/>
        <color rgb="FFC00000"/>
        <rFont val="DejaVu Sans"/>
        <family val="2"/>
      </rPr>
      <t xml:space="preserve">점인 이유</t>
    </r>
    <r>
      <rPr>
        <sz val="10"/>
        <color rgb="FFC00000"/>
        <rFont val="맑은 고딕"/>
        <family val="0"/>
        <charset val="1"/>
      </rPr>
      <t xml:space="preserve">: </t>
    </r>
    <r>
      <rPr>
        <sz val="10"/>
        <color rgb="FFC00000"/>
        <rFont val="DejaVu Sans"/>
        <family val="2"/>
      </rPr>
      <t xml:space="preserve">팀장이 </t>
    </r>
    <r>
      <rPr>
        <sz val="10"/>
        <color rgb="FFC00000"/>
        <rFont val="맑은 고딕"/>
        <family val="0"/>
        <charset val="1"/>
      </rPr>
      <t xml:space="preserve">AI</t>
    </r>
    <r>
      <rPr>
        <sz val="10"/>
        <color rgb="FFC00000"/>
        <rFont val="DejaVu Sans"/>
        <family val="2"/>
      </rPr>
      <t xml:space="preserve">에 강한 불신 </t>
    </r>
    <r>
      <rPr>
        <sz val="10"/>
        <color rgb="FFC00000"/>
        <rFont val="맑은 고딕"/>
        <family val="0"/>
        <charset val="1"/>
      </rPr>
      <t xml:space="preserve">+ </t>
    </r>
    <r>
      <rPr>
        <sz val="10"/>
        <color rgb="FFC00000"/>
        <rFont val="DejaVu Sans"/>
        <family val="2"/>
      </rPr>
      <t xml:space="preserve">팀원 </t>
    </r>
    <r>
      <rPr>
        <sz val="10"/>
        <color rgb="FFC00000"/>
        <rFont val="맑은 고딕"/>
        <family val="0"/>
        <charset val="1"/>
      </rPr>
      <t xml:space="preserve">AI </t>
    </r>
    <r>
      <rPr>
        <sz val="10"/>
        <color rgb="FFC00000"/>
        <rFont val="DejaVu Sans"/>
        <family val="2"/>
      </rPr>
      <t xml:space="preserve">역량 부족
★ 선행 조치</t>
    </r>
    <r>
      <rPr>
        <sz val="10"/>
        <color rgb="FFC00000"/>
        <rFont val="맑은 고딕"/>
        <family val="0"/>
        <charset val="1"/>
      </rPr>
      <t xml:space="preserve">: </t>
    </r>
    <r>
      <rPr>
        <sz val="10"/>
        <color rgb="FFC00000"/>
        <rFont val="DejaVu Sans"/>
        <family val="2"/>
      </rPr>
      <t xml:space="preserve">팀장 </t>
    </r>
    <r>
      <rPr>
        <sz val="10"/>
        <color rgb="FFC00000"/>
        <rFont val="맑은 고딕"/>
        <family val="0"/>
        <charset val="1"/>
      </rPr>
      <t xml:space="preserve">1:1 </t>
    </r>
    <r>
      <rPr>
        <sz val="10"/>
        <color rgb="FFC00000"/>
        <rFont val="DejaVu Sans"/>
        <family val="2"/>
      </rPr>
      <t xml:space="preserve">코칭 </t>
    </r>
    <r>
      <rPr>
        <sz val="10"/>
        <color rgb="FFC00000"/>
        <rFont val="맑은 고딕"/>
        <family val="0"/>
        <charset val="1"/>
      </rPr>
      <t xml:space="preserve">+ </t>
    </r>
    <r>
      <rPr>
        <sz val="10"/>
        <color rgb="FFC00000"/>
        <rFont val="DejaVu Sans"/>
        <family val="2"/>
      </rPr>
      <t xml:space="preserve">팀원 추가 교육 → 재평가 후 </t>
    </r>
    <r>
      <rPr>
        <sz val="10"/>
        <color rgb="FFC00000"/>
        <rFont val="맑은 고딕"/>
        <family val="0"/>
        <charset val="1"/>
      </rPr>
      <t xml:space="preserve">Wave 1 </t>
    </r>
    <r>
      <rPr>
        <sz val="10"/>
        <color rgb="FFC00000"/>
        <rFont val="DejaVu Sans"/>
        <family val="2"/>
      </rPr>
      <t xml:space="preserve">진입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</si>
</sst>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#,##0"/>
    <numFmt numFmtId="168" formatCode="0.0%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맑은 고딕"/>
      <family val="0"/>
      <charset val="1"/>
    </font>
    <font>
      <b val="true"/>
      <sz val="14"/>
      <color rgb="FF1B2A4A"/>
      <name val="DejaVu Sans"/>
      <family val="2"/>
    </font>
    <font>
      <i val="true"/>
      <sz val="9"/>
      <color rgb="FF666666"/>
      <name val="맑은 고딕"/>
      <family val="0"/>
      <charset val="1"/>
    </font>
    <font>
      <i val="true"/>
      <sz val="9"/>
      <color rgb="FF666666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1B2A4A"/>
      <name val="DejaVu Sans"/>
      <family val="2"/>
    </font>
    <font>
      <b val="true"/>
      <sz val="10"/>
      <color rgb="FF1B2A4A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DejaVu Sans"/>
      <family val="2"/>
    </font>
    <font>
      <sz val="10"/>
      <color rgb="FF333333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9"/>
      <name val="맑은 고딕"/>
      <family val="0"/>
      <charset val="1"/>
    </font>
    <font>
      <sz val="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2"/>
      <color rgb="FFC00000"/>
      <name val="맑은 고딕"/>
      <family val="0"/>
      <charset val="1"/>
    </font>
    <font>
      <sz val="10"/>
      <color rgb="FF333333"/>
      <name val="DejaVu Sans"/>
      <family val="2"/>
    </font>
    <font>
      <sz val="9"/>
      <color rgb="FF555555"/>
      <name val="맑은 고딕"/>
      <family val="0"/>
      <charset val="1"/>
    </font>
    <font>
      <sz val="9"/>
      <color rgb="FF555555"/>
      <name val="DejaVu Sans"/>
      <family val="2"/>
    </font>
    <font>
      <b val="true"/>
      <sz val="10"/>
      <color rgb="FF2E5090"/>
      <name val="맑은 고딕"/>
      <family val="0"/>
      <charset val="1"/>
    </font>
    <font>
      <b val="true"/>
      <sz val="10"/>
      <color rgb="FF2E5090"/>
      <name val="DejaVu Sans"/>
      <family val="2"/>
    </font>
    <font>
      <sz val="9"/>
      <color rgb="FF444444"/>
      <name val="DejaVu Sans"/>
      <family val="2"/>
    </font>
    <font>
      <sz val="9"/>
      <color rgb="FF444444"/>
      <name val="맑은 고딕"/>
      <family val="0"/>
      <charset val="1"/>
    </font>
    <font>
      <sz val="8"/>
      <color rgb="FF999999"/>
      <name val="맑은 고딕"/>
      <family val="0"/>
      <charset val="1"/>
    </font>
    <font>
      <sz val="8"/>
      <color rgb="FF999999"/>
      <name val="DejaVu Sans"/>
      <family val="2"/>
    </font>
    <font>
      <sz val="8"/>
      <color rgb="FF888888"/>
      <name val="맑은 고딕"/>
      <family val="0"/>
      <charset val="1"/>
    </font>
    <font>
      <sz val="8"/>
      <color rgb="FF888888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4"/>
      <color rgb="FFC00000"/>
      <name val="맑은 고딕"/>
      <family val="0"/>
      <charset val="1"/>
    </font>
    <font>
      <b val="true"/>
      <sz val="10"/>
      <color rgb="FF548235"/>
      <name val="DejaVu Sans"/>
      <family val="2"/>
    </font>
    <font>
      <b val="true"/>
      <sz val="12"/>
      <color rgb="FF548235"/>
      <name val="맑은 고딕"/>
      <family val="0"/>
      <charset val="1"/>
    </font>
    <font>
      <b val="true"/>
      <sz val="10"/>
      <color rgb="FFED7D31"/>
      <name val="DejaVu Sans"/>
      <family val="2"/>
    </font>
    <font>
      <b val="true"/>
      <sz val="12"/>
      <color rgb="FFED7D31"/>
      <name val="맑은 고딕"/>
      <family val="0"/>
      <charset val="1"/>
    </font>
    <font>
      <b val="true"/>
      <sz val="10"/>
      <color rgb="FF7030A0"/>
      <name val="DejaVu Sans"/>
      <family val="2"/>
    </font>
    <font>
      <b val="true"/>
      <sz val="12"/>
      <color rgb="FF7030A0"/>
      <name val="맑은 고딕"/>
      <family val="0"/>
      <charset val="1"/>
    </font>
    <font>
      <b val="true"/>
      <sz val="10"/>
      <color rgb="FF00B0F0"/>
      <name val="DejaVu Sans"/>
      <family val="2"/>
    </font>
    <font>
      <b val="true"/>
      <sz val="12"/>
      <color rgb="FF00B0F0"/>
      <name val="맑은 고딕"/>
      <family val="0"/>
      <charset val="1"/>
    </font>
    <font>
      <b val="true"/>
      <sz val="11"/>
      <color rgb="FF1B2A4A"/>
      <name val="DejaVu Sans"/>
      <family val="2"/>
    </font>
    <font>
      <b val="true"/>
      <sz val="11"/>
      <color rgb="FF1B2A4A"/>
      <name val="맑은 고딕"/>
      <family val="0"/>
      <charset val="1"/>
    </font>
    <font>
      <b val="true"/>
      <sz val="12"/>
      <color rgb="FF1B2A4A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b val="true"/>
      <sz val="11"/>
      <color rgb="FFC00000"/>
      <name val="맑은 고딕"/>
      <family val="0"/>
      <charset val="1"/>
    </font>
    <font>
      <sz val="10"/>
      <color rgb="FFC00000"/>
      <name val="맑은 고딕"/>
      <family val="0"/>
      <charset val="1"/>
    </font>
    <font>
      <sz val="10"/>
      <color rgb="FFC00000"/>
      <name val="DejaVu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0F0"/>
      </patternFill>
    </fill>
    <fill>
      <patternFill patternType="solid">
        <fgColor rgb="FF1B2A4A"/>
        <bgColor rgb="FF333333"/>
      </patternFill>
    </fill>
    <fill>
      <patternFill patternType="solid">
        <fgColor rgb="FFF2F2F2"/>
        <bgColor rgb="FFFFF0F0"/>
      </patternFill>
    </fill>
    <fill>
      <patternFill patternType="solid">
        <fgColor rgb="FFFFF2CC"/>
        <bgColor rgb="FFFFF0F0"/>
      </patternFill>
    </fill>
    <fill>
      <patternFill patternType="solid">
        <fgColor rgb="FF2E5090"/>
        <bgColor rgb="FF555555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800080"/>
      </patternFill>
    </fill>
    <fill>
      <patternFill patternType="solid">
        <fgColor rgb="FF00B0F0"/>
        <bgColor rgb="FF33CCCC"/>
      </patternFill>
    </fill>
    <fill>
      <patternFill patternType="solid">
        <fgColor rgb="FFFFD7D7"/>
        <bgColor rgb="FFFFF0F0"/>
      </patternFill>
    </fill>
    <fill>
      <patternFill patternType="solid">
        <fgColor rgb="FFFFF0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88888"/>
      <rgbColor rgb="FF9999FF"/>
      <rgbColor rgb="FF7030A0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FF0F0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ED7D31"/>
      <rgbColor rgb="FF666666"/>
      <rgbColor rgb="FF999999"/>
      <rgbColor rgb="FF1B2A4A"/>
      <rgbColor rgb="FF339966"/>
      <rgbColor rgb="FF003300"/>
      <rgbColor rgb="FF444444"/>
      <rgbColor rgb="FF993300"/>
      <rgbColor rgb="FF555555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3</v>
      </c>
      <c r="C5" s="5"/>
      <c r="D5" s="4" t="s">
        <v>4</v>
      </c>
      <c r="E5" s="5"/>
      <c r="F5" s="4" t="s">
        <v>5</v>
      </c>
      <c r="G5" s="5"/>
      <c r="H5" s="4" t="s">
        <v>6</v>
      </c>
      <c r="I5" s="5"/>
    </row>
    <row r="7" customFormat="false" ht="37.5" hidden="false" customHeight="true" outlineLevel="0" collapsed="false">
      <c r="A7" s="6" t="s">
        <v>7</v>
      </c>
      <c r="B7" s="6" t="s">
        <v>8</v>
      </c>
      <c r="C7" s="7" t="s">
        <v>9</v>
      </c>
      <c r="D7" s="7" t="s">
        <v>10</v>
      </c>
      <c r="E7" s="7" t="s">
        <v>11</v>
      </c>
      <c r="F7" s="8" t="s">
        <v>12</v>
      </c>
      <c r="G7" s="6" t="s">
        <v>13</v>
      </c>
      <c r="H7" s="6" t="s">
        <v>14</v>
      </c>
      <c r="I7" s="9" t="s">
        <v>15</v>
      </c>
    </row>
    <row r="8" customFormat="false" ht="27.75" hidden="false" customHeight="true" outlineLevel="0" collapsed="false">
      <c r="A8" s="10" t="n">
        <v>1</v>
      </c>
      <c r="B8" s="11"/>
      <c r="C8" s="5"/>
      <c r="D8" s="5"/>
      <c r="E8" s="5"/>
      <c r="F8" s="5"/>
      <c r="G8" s="12" t="str">
        <f aca="false">IF(AND(C8&lt;&gt;"",D8&lt;&gt;"",E8&lt;&gt;"",F8&lt;&gt;""),AVERAGE(C8:F8),"")</f>
        <v/>
      </c>
      <c r="H8" s="13" t="str">
        <f aca="false">IF(G8="","",IF(G8&gt;=8,"Wave1 즉시",IF(G8&gt;=6,"Wave2 단기",IF(G8&gt;=4,"Wave3 중기","보류"))))</f>
        <v/>
      </c>
      <c r="I8" s="14" t="str">
        <f aca="false">IF(F8="","",IF(F8&lt;=4,"⚠ P점수 낮음: 팀장 코칭 + 추가 교육 필요",IF(F8&lt;=6,"△ P점수 보통: 모니터링 권장","✓ P점수 양호")))</f>
        <v/>
      </c>
    </row>
    <row r="9" customFormat="false" ht="27.75" hidden="false" customHeight="true" outlineLevel="0" collapsed="false">
      <c r="A9" s="10" t="n">
        <v>2</v>
      </c>
      <c r="B9" s="11"/>
      <c r="C9" s="5"/>
      <c r="D9" s="5"/>
      <c r="E9" s="5"/>
      <c r="F9" s="5"/>
      <c r="G9" s="12" t="str">
        <f aca="false">IF(AND(C9&lt;&gt;"",D9&lt;&gt;"",E9&lt;&gt;"",F9&lt;&gt;""),AVERAGE(C9:F9),"")</f>
        <v/>
      </c>
      <c r="H9" s="13" t="str">
        <f aca="false">IF(G9="","",IF(G9&gt;=8,"Wave1 즉시",IF(G9&gt;=6,"Wave2 단기",IF(G9&gt;=4,"Wave3 중기","보류"))))</f>
        <v/>
      </c>
      <c r="I9" s="14" t="str">
        <f aca="false">IF(F9="","",IF(F9&lt;=4,"⚠ P점수 낮음: 팀장 코칭 + 추가 교육 필요",IF(F9&lt;=6,"△ P점수 보통: 모니터링 권장","✓ P점수 양호")))</f>
        <v/>
      </c>
    </row>
    <row r="10" customFormat="false" ht="27.75" hidden="false" customHeight="true" outlineLevel="0" collapsed="false">
      <c r="A10" s="10" t="n">
        <v>3</v>
      </c>
      <c r="B10" s="11"/>
      <c r="C10" s="5"/>
      <c r="D10" s="5"/>
      <c r="E10" s="5"/>
      <c r="F10" s="5"/>
      <c r="G10" s="12" t="str">
        <f aca="false">IF(AND(C10&lt;&gt;"",D10&lt;&gt;"",E10&lt;&gt;"",F10&lt;&gt;""),AVERAGE(C10:F10),"")</f>
        <v/>
      </c>
      <c r="H10" s="13" t="str">
        <f aca="false">IF(G10="","",IF(G10&gt;=8,"Wave1 즉시",IF(G10&gt;=6,"Wave2 단기",IF(G10&gt;=4,"Wave3 중기","보류"))))</f>
        <v/>
      </c>
      <c r="I10" s="14" t="str">
        <f aca="false">IF(F10="","",IF(F10&lt;=4,"⚠ P점수 낮음: 팀장 코칭 + 추가 교육 필요",IF(F10&lt;=6,"△ P점수 보통: 모니터링 권장","✓ P점수 양호")))</f>
        <v/>
      </c>
    </row>
    <row r="11" customFormat="false" ht="27.75" hidden="false" customHeight="true" outlineLevel="0" collapsed="false">
      <c r="A11" s="10" t="n">
        <v>4</v>
      </c>
      <c r="B11" s="11"/>
      <c r="C11" s="5"/>
      <c r="D11" s="5"/>
      <c r="E11" s="5"/>
      <c r="F11" s="5"/>
      <c r="G11" s="12" t="str">
        <f aca="false">IF(AND(C11&lt;&gt;"",D11&lt;&gt;"",E11&lt;&gt;"",F11&lt;&gt;""),AVERAGE(C11:F11),"")</f>
        <v/>
      </c>
      <c r="H11" s="13" t="str">
        <f aca="false">IF(G11="","",IF(G11&gt;=8,"Wave1 즉시",IF(G11&gt;=6,"Wave2 단기",IF(G11&gt;=4,"Wave3 중기","보류"))))</f>
        <v/>
      </c>
      <c r="I11" s="14" t="str">
        <f aca="false">IF(F11="","",IF(F11&lt;=4,"⚠ P점수 낮음: 팀장 코칭 + 추가 교육 필요",IF(F11&lt;=6,"△ P점수 보통: 모니터링 권장","✓ P점수 양호")))</f>
        <v/>
      </c>
    </row>
    <row r="12" customFormat="false" ht="27.75" hidden="false" customHeight="true" outlineLevel="0" collapsed="false">
      <c r="A12" s="10" t="n">
        <v>5</v>
      </c>
      <c r="B12" s="11"/>
      <c r="C12" s="5"/>
      <c r="D12" s="5"/>
      <c r="E12" s="5"/>
      <c r="F12" s="5"/>
      <c r="G12" s="12" t="str">
        <f aca="false">IF(AND(C12&lt;&gt;"",D12&lt;&gt;"",E12&lt;&gt;"",F12&lt;&gt;""),AVERAGE(C12:F12),"")</f>
        <v/>
      </c>
      <c r="H12" s="13" t="str">
        <f aca="false">IF(G12="","",IF(G12&gt;=8,"Wave1 즉시",IF(G12&gt;=6,"Wave2 단기",IF(G12&gt;=4,"Wave3 중기","보류"))))</f>
        <v/>
      </c>
      <c r="I12" s="14" t="str">
        <f aca="false">IF(F12="","",IF(F12&lt;=4,"⚠ P점수 낮음: 팀장 코칭 + 추가 교육 필요",IF(F12&lt;=6,"△ P점수 보통: 모니터링 권장","✓ P점수 양호")))</f>
        <v/>
      </c>
    </row>
    <row r="13" customFormat="false" ht="27.75" hidden="false" customHeight="true" outlineLevel="0" collapsed="false">
      <c r="A13" s="10" t="n">
        <v>6</v>
      </c>
      <c r="B13" s="11"/>
      <c r="C13" s="5"/>
      <c r="D13" s="5"/>
      <c r="E13" s="5"/>
      <c r="F13" s="5"/>
      <c r="G13" s="12" t="str">
        <f aca="false">IF(AND(C13&lt;&gt;"",D13&lt;&gt;"",E13&lt;&gt;"",F13&lt;&gt;""),AVERAGE(C13:F13),"")</f>
        <v/>
      </c>
      <c r="H13" s="13" t="str">
        <f aca="false">IF(G13="","",IF(G13&gt;=8,"Wave1 즉시",IF(G13&gt;=6,"Wave2 단기",IF(G13&gt;=4,"Wave3 중기","보류"))))</f>
        <v/>
      </c>
      <c r="I13" s="14" t="str">
        <f aca="false">IF(F13="","",IF(F13&lt;=4,"⚠ P점수 낮음: 팀장 코칭 + 추가 교육 필요",IF(F13&lt;=6,"△ P점수 보통: 모니터링 권장","✓ P점수 양호")))</f>
        <v/>
      </c>
    </row>
    <row r="14" customFormat="false" ht="27.75" hidden="false" customHeight="true" outlineLevel="0" collapsed="false">
      <c r="A14" s="10" t="n">
        <v>7</v>
      </c>
      <c r="B14" s="11"/>
      <c r="C14" s="5"/>
      <c r="D14" s="5"/>
      <c r="E14" s="5"/>
      <c r="F14" s="5"/>
      <c r="G14" s="12" t="str">
        <f aca="false">IF(AND(C14&lt;&gt;"",D14&lt;&gt;"",E14&lt;&gt;"",F14&lt;&gt;""),AVERAGE(C14:F14),"")</f>
        <v/>
      </c>
      <c r="H14" s="13" t="str">
        <f aca="false">IF(G14="","",IF(G14&gt;=8,"Wave1 즉시",IF(G14&gt;=6,"Wave2 단기",IF(G14&gt;=4,"Wave3 중기","보류"))))</f>
        <v/>
      </c>
      <c r="I14" s="14" t="str">
        <f aca="false">IF(F14="","",IF(F14&lt;=4,"⚠ P점수 낮음: 팀장 코칭 + 추가 교육 필요",IF(F14&lt;=6,"△ P점수 보통: 모니터링 권장","✓ P점수 양호")))</f>
        <v/>
      </c>
    </row>
    <row r="15" customFormat="false" ht="27.75" hidden="false" customHeight="true" outlineLevel="0" collapsed="false">
      <c r="A15" s="10" t="n">
        <v>8</v>
      </c>
      <c r="B15" s="11"/>
      <c r="C15" s="5"/>
      <c r="D15" s="5"/>
      <c r="E15" s="5"/>
      <c r="F15" s="5"/>
      <c r="G15" s="12" t="str">
        <f aca="false">IF(AND(C15&lt;&gt;"",D15&lt;&gt;"",E15&lt;&gt;"",F15&lt;&gt;""),AVERAGE(C15:F15),"")</f>
        <v/>
      </c>
      <c r="H15" s="13" t="str">
        <f aca="false">IF(G15="","",IF(G15&gt;=8,"Wave1 즉시",IF(G15&gt;=6,"Wave2 단기",IF(G15&gt;=4,"Wave3 중기","보류"))))</f>
        <v/>
      </c>
      <c r="I15" s="14" t="str">
        <f aca="false">IF(F15="","",IF(F15&lt;=4,"⚠ P점수 낮음: 팀장 코칭 + 추가 교육 필요",IF(F15&lt;=6,"△ P점수 보통: 모니터링 권장","✓ P점수 양호")))</f>
        <v/>
      </c>
    </row>
    <row r="16" customFormat="false" ht="27.75" hidden="false" customHeight="true" outlineLevel="0" collapsed="false">
      <c r="A16" s="10" t="n">
        <v>9</v>
      </c>
      <c r="B16" s="11"/>
      <c r="C16" s="5"/>
      <c r="D16" s="5"/>
      <c r="E16" s="5"/>
      <c r="F16" s="5"/>
      <c r="G16" s="12" t="str">
        <f aca="false">IF(AND(C16&lt;&gt;"",D16&lt;&gt;"",E16&lt;&gt;"",F16&lt;&gt;""),AVERAGE(C16:F16),"")</f>
        <v/>
      </c>
      <c r="H16" s="13" t="str">
        <f aca="false">IF(G16="","",IF(G16&gt;=8,"Wave1 즉시",IF(G16&gt;=6,"Wave2 단기",IF(G16&gt;=4,"Wave3 중기","보류"))))</f>
        <v/>
      </c>
      <c r="I16" s="14" t="str">
        <f aca="false">IF(F16="","",IF(F16&lt;=4,"⚠ P점수 낮음: 팀장 코칭 + 추가 교육 필요",IF(F16&lt;=6,"△ P점수 보통: 모니터링 권장","✓ P점수 양호")))</f>
        <v/>
      </c>
    </row>
    <row r="17" customFormat="false" ht="27.75" hidden="false" customHeight="true" outlineLevel="0" collapsed="false">
      <c r="A17" s="10" t="n">
        <v>10</v>
      </c>
      <c r="B17" s="11"/>
      <c r="C17" s="5"/>
      <c r="D17" s="5"/>
      <c r="E17" s="5"/>
      <c r="F17" s="5"/>
      <c r="G17" s="12" t="str">
        <f aca="false">IF(AND(C17&lt;&gt;"",D17&lt;&gt;"",E17&lt;&gt;"",F17&lt;&gt;""),AVERAGE(C17:F17),"")</f>
        <v/>
      </c>
      <c r="H17" s="13" t="str">
        <f aca="false">IF(G17="","",IF(G17&gt;=8,"Wave1 즉시",IF(G17&gt;=6,"Wave2 단기",IF(G17&gt;=4,"Wave3 중기","보류"))))</f>
        <v/>
      </c>
      <c r="I17" s="14" t="str">
        <f aca="false">IF(F17="","",IF(F17&lt;=4,"⚠ P점수 낮음: 팀장 코칭 + 추가 교육 필요",IF(F17&lt;=6,"△ P점수 보통: 모니터링 권장","✓ P점수 양호")))</f>
        <v/>
      </c>
    </row>
    <row r="18" customFormat="false" ht="27.75" hidden="false" customHeight="true" outlineLevel="0" collapsed="false">
      <c r="A18" s="10" t="n">
        <v>11</v>
      </c>
      <c r="B18" s="11"/>
      <c r="C18" s="5"/>
      <c r="D18" s="5"/>
      <c r="E18" s="5"/>
      <c r="F18" s="5"/>
      <c r="G18" s="12" t="str">
        <f aca="false">IF(AND(C18&lt;&gt;"",D18&lt;&gt;"",E18&lt;&gt;"",F18&lt;&gt;""),AVERAGE(C18:F18),"")</f>
        <v/>
      </c>
      <c r="H18" s="13" t="str">
        <f aca="false">IF(G18="","",IF(G18&gt;=8,"Wave1 즉시",IF(G18&gt;=6,"Wave2 단기",IF(G18&gt;=4,"Wave3 중기","보류"))))</f>
        <v/>
      </c>
      <c r="I18" s="14" t="str">
        <f aca="false">IF(F18="","",IF(F18&lt;=4,"⚠ P점수 낮음: 팀장 코칭 + 추가 교육 필요",IF(F18&lt;=6,"△ P점수 보통: 모니터링 권장","✓ P점수 양호")))</f>
        <v/>
      </c>
    </row>
    <row r="19" customFormat="false" ht="27.75" hidden="false" customHeight="true" outlineLevel="0" collapsed="false">
      <c r="A19" s="10" t="n">
        <v>12</v>
      </c>
      <c r="B19" s="11"/>
      <c r="C19" s="5"/>
      <c r="D19" s="5"/>
      <c r="E19" s="5"/>
      <c r="F19" s="5"/>
      <c r="G19" s="12" t="str">
        <f aca="false">IF(AND(C19&lt;&gt;"",D19&lt;&gt;"",E19&lt;&gt;"",F19&lt;&gt;""),AVERAGE(C19:F19),"")</f>
        <v/>
      </c>
      <c r="H19" s="13" t="str">
        <f aca="false">IF(G19="","",IF(G19&gt;=8,"Wave1 즉시",IF(G19&gt;=6,"Wave2 단기",IF(G19&gt;=4,"Wave3 중기","보류"))))</f>
        <v/>
      </c>
      <c r="I19" s="14" t="str">
        <f aca="false">IF(F19="","",IF(F19&lt;=4,"⚠ P점수 낮음: 팀장 코칭 + 추가 교육 필요",IF(F19&lt;=6,"△ P점수 보통: 모니터링 권장","✓ P점수 양호")))</f>
        <v/>
      </c>
    </row>
    <row r="20" customFormat="false" ht="27.75" hidden="false" customHeight="true" outlineLevel="0" collapsed="false">
      <c r="A20" s="10" t="n">
        <v>13</v>
      </c>
      <c r="B20" s="11"/>
      <c r="C20" s="5"/>
      <c r="D20" s="5"/>
      <c r="E20" s="5"/>
      <c r="F20" s="5"/>
      <c r="G20" s="12" t="str">
        <f aca="false">IF(AND(C20&lt;&gt;"",D20&lt;&gt;"",E20&lt;&gt;"",F20&lt;&gt;""),AVERAGE(C20:F20),"")</f>
        <v/>
      </c>
      <c r="H20" s="13" t="str">
        <f aca="false">IF(G20="","",IF(G20&gt;=8,"Wave1 즉시",IF(G20&gt;=6,"Wave2 단기",IF(G20&gt;=4,"Wave3 중기","보류"))))</f>
        <v/>
      </c>
      <c r="I20" s="14" t="str">
        <f aca="false">IF(F20="","",IF(F20&lt;=4,"⚠ P점수 낮음: 팀장 코칭 + 추가 교육 필요",IF(F20&lt;=6,"△ P점수 보통: 모니터링 권장","✓ P점수 양호")))</f>
        <v/>
      </c>
    </row>
    <row r="21" customFormat="false" ht="27.75" hidden="false" customHeight="true" outlineLevel="0" collapsed="false">
      <c r="A21" s="10" t="n">
        <v>14</v>
      </c>
      <c r="B21" s="11"/>
      <c r="C21" s="5"/>
      <c r="D21" s="5"/>
      <c r="E21" s="5"/>
      <c r="F21" s="5"/>
      <c r="G21" s="12" t="str">
        <f aca="false">IF(AND(C21&lt;&gt;"",D21&lt;&gt;"",E21&lt;&gt;"",F21&lt;&gt;""),AVERAGE(C21:F21),"")</f>
        <v/>
      </c>
      <c r="H21" s="13" t="str">
        <f aca="false">IF(G21="","",IF(G21&gt;=8,"Wave1 즉시",IF(G21&gt;=6,"Wave2 단기",IF(G21&gt;=4,"Wave3 중기","보류"))))</f>
        <v/>
      </c>
      <c r="I21" s="14" t="str">
        <f aca="false">IF(F21="","",IF(F21&lt;=4,"⚠ P점수 낮음: 팀장 코칭 + 추가 교육 필요",IF(F21&lt;=6,"△ P점수 보통: 모니터링 권장","✓ P점수 양호")))</f>
        <v/>
      </c>
    </row>
    <row r="22" customFormat="false" ht="27.75" hidden="false" customHeight="true" outlineLevel="0" collapsed="false">
      <c r="A22" s="10" t="n">
        <v>15</v>
      </c>
      <c r="B22" s="11"/>
      <c r="C22" s="5"/>
      <c r="D22" s="5"/>
      <c r="E22" s="5"/>
      <c r="F22" s="5"/>
      <c r="G22" s="12" t="str">
        <f aca="false">IF(AND(C22&lt;&gt;"",D22&lt;&gt;"",E22&lt;&gt;"",F22&lt;&gt;""),AVERAGE(C22:F22),"")</f>
        <v/>
      </c>
      <c r="H22" s="13" t="str">
        <f aca="false">IF(G22="","",IF(G22&gt;=8,"Wave1 즉시",IF(G22&gt;=6,"Wave2 단기",IF(G22&gt;=4,"Wave3 중기","보류"))))</f>
        <v/>
      </c>
      <c r="I22" s="14" t="str">
        <f aca="false">IF(F22="","",IF(F22&lt;=4,"⚠ P점수 낮음: 팀장 코칭 + 추가 교육 필요",IF(F22&lt;=6,"△ P점수 보통: 모니터링 권장","✓ P점수 양호")))</f>
        <v/>
      </c>
    </row>
    <row r="24" customFormat="false" ht="25.5" hidden="false" customHeight="true" outlineLevel="0" collapsed="false">
      <c r="A24" s="15" t="s">
        <v>16</v>
      </c>
      <c r="B24" s="15"/>
      <c r="C24" s="15"/>
      <c r="D24" s="15"/>
      <c r="E24" s="15"/>
      <c r="F24" s="15"/>
      <c r="G24" s="15"/>
      <c r="H24" s="15"/>
      <c r="I24" s="15"/>
    </row>
    <row r="25" customFormat="false" ht="25.5" hidden="false" customHeight="true" outlineLevel="0" collapsed="false">
      <c r="A25" s="16" t="s">
        <v>17</v>
      </c>
      <c r="B25" s="16"/>
      <c r="C25" s="16"/>
      <c r="D25" s="17" t="n">
        <f aca="false">COUNTIF(H8:H22,"Wave1*")</f>
        <v>0</v>
      </c>
      <c r="E25" s="18" t="s">
        <v>18</v>
      </c>
      <c r="F25" s="19" t="s">
        <v>19</v>
      </c>
      <c r="G25" s="19"/>
      <c r="H25" s="19"/>
      <c r="I25" s="19"/>
    </row>
    <row r="26" customFormat="false" ht="25.5" hidden="false" customHeight="true" outlineLevel="0" collapsed="false">
      <c r="A26" s="16" t="s">
        <v>20</v>
      </c>
      <c r="B26" s="16"/>
      <c r="C26" s="16"/>
      <c r="D26" s="17" t="n">
        <f aca="false">COUNTIF(H8:H22,"Wave2*")</f>
        <v>0</v>
      </c>
      <c r="E26" s="18" t="s">
        <v>18</v>
      </c>
      <c r="F26" s="20" t="s">
        <v>21</v>
      </c>
      <c r="G26" s="20"/>
      <c r="H26" s="20"/>
      <c r="I26" s="20"/>
    </row>
    <row r="27" customFormat="false" ht="25.5" hidden="false" customHeight="true" outlineLevel="0" collapsed="false">
      <c r="A27" s="16" t="s">
        <v>22</v>
      </c>
      <c r="B27" s="16"/>
      <c r="C27" s="16"/>
      <c r="D27" s="17" t="n">
        <f aca="false">COUNTIF(H8:H22,"Wave3*")</f>
        <v>0</v>
      </c>
      <c r="E27" s="18" t="s">
        <v>18</v>
      </c>
      <c r="F27" s="20" t="s">
        <v>23</v>
      </c>
      <c r="G27" s="20"/>
      <c r="H27" s="20"/>
      <c r="I27" s="20"/>
    </row>
    <row r="28" customFormat="false" ht="25.5" hidden="false" customHeight="true" outlineLevel="0" collapsed="false">
      <c r="A28" s="21" t="s">
        <v>24</v>
      </c>
      <c r="B28" s="21"/>
      <c r="C28" s="21"/>
      <c r="D28" s="17" t="n">
        <f aca="false">COUNTIF(H8:H22,"보류")</f>
        <v>0</v>
      </c>
      <c r="E28" s="18" t="s">
        <v>18</v>
      </c>
      <c r="F28" s="19" t="s">
        <v>25</v>
      </c>
      <c r="G28" s="19"/>
      <c r="H28" s="19"/>
      <c r="I28" s="19"/>
    </row>
    <row r="30" customFormat="false" ht="25.5" hidden="false" customHeight="true" outlineLevel="0" collapsed="false">
      <c r="A30" s="22" t="s">
        <v>26</v>
      </c>
      <c r="B30" s="22"/>
      <c r="C30" s="22"/>
      <c r="D30" s="22"/>
      <c r="E30" s="22"/>
      <c r="F30" s="22"/>
      <c r="G30" s="22"/>
      <c r="H30" s="22"/>
      <c r="I30" s="22"/>
    </row>
    <row r="31" customFormat="false" ht="24" hidden="false" customHeight="true" outlineLevel="0" collapsed="false">
      <c r="A31" s="16" t="s">
        <v>27</v>
      </c>
      <c r="B31" s="16"/>
      <c r="C31" s="16"/>
      <c r="D31" s="16"/>
      <c r="E31" s="23" t="n">
        <f aca="false">COUNTIF(F8:F22,"&lt;=4")</f>
        <v>0</v>
      </c>
      <c r="F31" s="24"/>
      <c r="G31" s="24"/>
      <c r="H31" s="24"/>
      <c r="I31" s="24"/>
    </row>
    <row r="32" customFormat="false" ht="24" hidden="false" customHeight="true" outlineLevel="0" collapsed="false">
      <c r="A32" s="16" t="s">
        <v>28</v>
      </c>
      <c r="B32" s="16"/>
      <c r="C32" s="16"/>
      <c r="D32" s="16"/>
      <c r="E32" s="23" t="n">
        <f aca="false">COUNTIFS(F8:F22,"&gt;4",F8:F22,"&lt;=6")</f>
        <v>0</v>
      </c>
      <c r="F32" s="24"/>
      <c r="G32" s="24"/>
      <c r="H32" s="24"/>
      <c r="I32" s="24"/>
    </row>
    <row r="33" customFormat="false" ht="24" hidden="false" customHeight="true" outlineLevel="0" collapsed="false">
      <c r="A33" s="16" t="s">
        <v>29</v>
      </c>
      <c r="B33" s="16"/>
      <c r="C33" s="16"/>
      <c r="D33" s="16"/>
      <c r="E33" s="23" t="n">
        <f aca="false">COUNTIF(F8:F22,"&gt;=7")</f>
        <v>0</v>
      </c>
      <c r="F33" s="24"/>
      <c r="G33" s="24"/>
      <c r="H33" s="24"/>
      <c r="I33" s="24"/>
    </row>
    <row r="34" customFormat="false" ht="24" hidden="false" customHeight="true" outlineLevel="0" collapsed="false">
      <c r="A34" s="16" t="s">
        <v>30</v>
      </c>
      <c r="B34" s="16"/>
      <c r="C34" s="16"/>
      <c r="D34" s="16"/>
      <c r="E34" s="23" t="str">
        <f aca="false">IF(COUNT(F8:F22)&gt;0,AVERAGE(F8:F22),"")</f>
        <v/>
      </c>
      <c r="F34" s="24"/>
      <c r="G34" s="24"/>
      <c r="H34" s="24"/>
      <c r="I34" s="24"/>
    </row>
    <row r="36" customFormat="false" ht="25.5" hidden="false" customHeight="true" outlineLevel="0" collapsed="false">
      <c r="A36" s="25" t="s">
        <v>31</v>
      </c>
      <c r="B36" s="25"/>
      <c r="C36" s="25"/>
      <c r="D36" s="25"/>
      <c r="E36" s="25"/>
      <c r="F36" s="25"/>
      <c r="G36" s="25"/>
      <c r="H36" s="25"/>
      <c r="I36" s="25"/>
    </row>
    <row r="37" customFormat="false" ht="25.5" hidden="false" customHeight="true" outlineLevel="0" collapsed="false">
      <c r="A37" s="26" t="s">
        <v>32</v>
      </c>
      <c r="B37" s="26"/>
      <c r="C37" s="26"/>
      <c r="D37" s="27" t="s">
        <v>33</v>
      </c>
      <c r="E37" s="27"/>
      <c r="F37" s="27"/>
      <c r="G37" s="27"/>
      <c r="H37" s="27"/>
      <c r="I37" s="27"/>
    </row>
    <row r="38" customFormat="false" ht="25.5" hidden="false" customHeight="true" outlineLevel="0" collapsed="false">
      <c r="A38" s="26" t="s">
        <v>34</v>
      </c>
      <c r="B38" s="26"/>
      <c r="C38" s="26"/>
      <c r="D38" s="28" t="s">
        <v>35</v>
      </c>
      <c r="E38" s="28"/>
      <c r="F38" s="28"/>
      <c r="G38" s="28"/>
      <c r="H38" s="28"/>
      <c r="I38" s="28"/>
    </row>
    <row r="39" customFormat="false" ht="25.5" hidden="false" customHeight="true" outlineLevel="0" collapsed="false">
      <c r="A39" s="26" t="s">
        <v>36</v>
      </c>
      <c r="B39" s="26"/>
      <c r="C39" s="26"/>
      <c r="D39" s="27" t="s">
        <v>37</v>
      </c>
      <c r="E39" s="27"/>
      <c r="F39" s="27"/>
      <c r="G39" s="27"/>
      <c r="H39" s="27"/>
      <c r="I39" s="27"/>
    </row>
    <row r="40" customFormat="false" ht="25.5" hidden="false" customHeight="true" outlineLevel="0" collapsed="false">
      <c r="A40" s="26" t="s">
        <v>38</v>
      </c>
      <c r="B40" s="26"/>
      <c r="C40" s="26"/>
      <c r="D40" s="28" t="s">
        <v>39</v>
      </c>
      <c r="E40" s="28"/>
      <c r="F40" s="28"/>
      <c r="G40" s="28"/>
      <c r="H40" s="28"/>
      <c r="I40" s="28"/>
    </row>
    <row r="42" customFormat="false" ht="11.15" hidden="false" customHeight="false" outlineLevel="0" collapsed="false">
      <c r="A42" s="29" t="s">
        <v>40</v>
      </c>
      <c r="B42" s="29"/>
      <c r="C42" s="29"/>
      <c r="D42" s="29"/>
      <c r="E42" s="29"/>
      <c r="F42" s="29"/>
      <c r="G42" s="29"/>
      <c r="H42" s="29"/>
      <c r="I42" s="29"/>
    </row>
  </sheetData>
  <mergeCells count="31">
    <mergeCell ref="A1:I1"/>
    <mergeCell ref="A2:I2"/>
    <mergeCell ref="A4:I4"/>
    <mergeCell ref="A24:I24"/>
    <mergeCell ref="A25:C25"/>
    <mergeCell ref="F25:I25"/>
    <mergeCell ref="A26:C26"/>
    <mergeCell ref="F26:I26"/>
    <mergeCell ref="A27:C27"/>
    <mergeCell ref="F27:I27"/>
    <mergeCell ref="A28:C28"/>
    <mergeCell ref="F28:I28"/>
    <mergeCell ref="A30:I30"/>
    <mergeCell ref="A31:D31"/>
    <mergeCell ref="F31:I31"/>
    <mergeCell ref="A32:D32"/>
    <mergeCell ref="F32:I32"/>
    <mergeCell ref="A33:D33"/>
    <mergeCell ref="F33:I33"/>
    <mergeCell ref="A34:D34"/>
    <mergeCell ref="F34:I34"/>
    <mergeCell ref="A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2:I42"/>
  </mergeCells>
  <dataValidations count="1">
    <dataValidation allowBlank="true" errorStyle="stop" operator="between" prompt="1~10점으로 평가" showDropDown="false" showErrorMessage="false" showInputMessage="false" sqref="C8:F22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6" min="3" style="0" width="18"/>
    <col collapsed="false" customWidth="true" hidden="false" outlineLevel="0" max="7" min="7" style="0" width="20"/>
  </cols>
  <sheetData>
    <row r="1" customFormat="false" ht="37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30" t="s">
        <v>42</v>
      </c>
      <c r="B2" s="30"/>
      <c r="C2" s="30"/>
      <c r="D2" s="30"/>
      <c r="E2" s="30"/>
      <c r="F2" s="30"/>
      <c r="G2" s="30"/>
    </row>
    <row r="4" customFormat="false" ht="27.75" hidden="false" customHeight="true" outlineLevel="0" collapsed="false">
      <c r="A4" s="15" t="s">
        <v>43</v>
      </c>
      <c r="B4" s="15"/>
      <c r="C4" s="15"/>
      <c r="D4" s="15"/>
      <c r="E4" s="15"/>
      <c r="F4" s="15"/>
      <c r="G4" s="15"/>
    </row>
    <row r="5" customFormat="false" ht="25.5" hidden="false" customHeight="true" outlineLevel="0" collapsed="false">
      <c r="A5" s="10" t="n">
        <v>1</v>
      </c>
      <c r="B5" s="21" t="s">
        <v>44</v>
      </c>
      <c r="C5" s="21"/>
      <c r="D5" s="31"/>
      <c r="E5" s="18" t="s">
        <v>45</v>
      </c>
      <c r="F5" s="32" t="s">
        <v>46</v>
      </c>
      <c r="G5" s="32"/>
    </row>
    <row r="6" customFormat="false" ht="25.5" hidden="false" customHeight="true" outlineLevel="0" collapsed="false">
      <c r="A6" s="10" t="n">
        <v>2</v>
      </c>
      <c r="B6" s="16" t="s">
        <v>47</v>
      </c>
      <c r="C6" s="16"/>
      <c r="D6" s="31"/>
      <c r="E6" s="18" t="s">
        <v>48</v>
      </c>
      <c r="F6" s="32" t="s">
        <v>49</v>
      </c>
      <c r="G6" s="32"/>
    </row>
    <row r="7" customFormat="false" ht="25.5" hidden="false" customHeight="true" outlineLevel="0" collapsed="false">
      <c r="A7" s="10" t="n">
        <v>3</v>
      </c>
      <c r="B7" s="21" t="s">
        <v>50</v>
      </c>
      <c r="C7" s="21"/>
      <c r="D7" s="31"/>
      <c r="E7" s="18" t="s">
        <v>45</v>
      </c>
      <c r="F7" s="33" t="s">
        <v>51</v>
      </c>
      <c r="G7" s="33"/>
    </row>
    <row r="8" customFormat="false" ht="25.5" hidden="false" customHeight="true" outlineLevel="0" collapsed="false">
      <c r="A8" s="10" t="n">
        <v>4</v>
      </c>
      <c r="B8" s="21" t="s">
        <v>52</v>
      </c>
      <c r="C8" s="21"/>
      <c r="D8" s="31"/>
      <c r="E8" s="18" t="s">
        <v>45</v>
      </c>
      <c r="F8" s="32" t="s">
        <v>53</v>
      </c>
      <c r="G8" s="32"/>
    </row>
    <row r="9" customFormat="false" ht="25.5" hidden="false" customHeight="true" outlineLevel="0" collapsed="false">
      <c r="A9" s="10" t="n">
        <v>5</v>
      </c>
      <c r="B9" s="21" t="s">
        <v>54</v>
      </c>
      <c r="C9" s="21"/>
      <c r="D9" s="31"/>
      <c r="E9" s="18" t="s">
        <v>45</v>
      </c>
      <c r="F9" s="33" t="s">
        <v>55</v>
      </c>
      <c r="G9" s="33"/>
    </row>
    <row r="10" customFormat="false" ht="31.5" hidden="false" customHeight="true" outlineLevel="0" collapsed="false">
      <c r="A10" s="34" t="s">
        <v>56</v>
      </c>
      <c r="B10" s="34"/>
      <c r="C10" s="34"/>
      <c r="D10" s="35" t="n">
        <f aca="false">SUM(D5:D9)</f>
        <v>0</v>
      </c>
      <c r="E10" s="36" t="s">
        <v>45</v>
      </c>
    </row>
    <row r="12" customFormat="false" ht="27.75" hidden="false" customHeight="true" outlineLevel="0" collapsed="false">
      <c r="A12" s="15" t="s">
        <v>57</v>
      </c>
      <c r="B12" s="15"/>
      <c r="C12" s="15"/>
      <c r="D12" s="15"/>
      <c r="E12" s="15"/>
      <c r="F12" s="15"/>
      <c r="G12" s="15"/>
    </row>
    <row r="13" customFormat="false" ht="25.5" hidden="false" customHeight="true" outlineLevel="0" collapsed="false">
      <c r="A13" s="37" t="s">
        <v>58</v>
      </c>
      <c r="B13" s="37"/>
      <c r="C13" s="37"/>
      <c r="D13" s="37"/>
      <c r="E13" s="37"/>
      <c r="F13" s="37"/>
      <c r="G13" s="37"/>
    </row>
    <row r="14" customFormat="false" ht="24" hidden="false" customHeight="true" outlineLevel="0" collapsed="false">
      <c r="A14" s="38"/>
      <c r="B14" s="24" t="s">
        <v>59</v>
      </c>
      <c r="C14" s="24"/>
      <c r="D14" s="31"/>
      <c r="E14" s="18" t="s">
        <v>60</v>
      </c>
    </row>
    <row r="15" customFormat="false" ht="24" hidden="false" customHeight="true" outlineLevel="0" collapsed="false">
      <c r="A15" s="38"/>
      <c r="B15" s="24" t="s">
        <v>61</v>
      </c>
      <c r="C15" s="24"/>
      <c r="D15" s="31"/>
      <c r="E15" s="18" t="s">
        <v>45</v>
      </c>
    </row>
    <row r="16" customFormat="false" ht="24" hidden="false" customHeight="true" outlineLevel="0" collapsed="false">
      <c r="A16" s="38"/>
      <c r="B16" s="24" t="s">
        <v>62</v>
      </c>
      <c r="C16" s="24"/>
      <c r="D16" s="39"/>
      <c r="E16" s="10" t="s">
        <v>63</v>
      </c>
    </row>
    <row r="17" customFormat="false" ht="24" hidden="false" customHeight="true" outlineLevel="0" collapsed="false">
      <c r="A17" s="38"/>
      <c r="B17" s="24" t="s">
        <v>64</v>
      </c>
      <c r="C17" s="24"/>
      <c r="D17" s="31"/>
      <c r="E17" s="18" t="s">
        <v>60</v>
      </c>
    </row>
    <row r="18" customFormat="false" ht="24" hidden="false" customHeight="true" outlineLevel="0" collapsed="false">
      <c r="A18" s="38"/>
      <c r="B18" s="24" t="s">
        <v>65</v>
      </c>
      <c r="C18" s="24"/>
      <c r="D18" s="39"/>
      <c r="E18" s="10" t="s">
        <v>63</v>
      </c>
    </row>
    <row r="19" customFormat="false" ht="27.75" hidden="false" customHeight="true" outlineLevel="0" collapsed="false">
      <c r="B19" s="40" t="s">
        <v>66</v>
      </c>
      <c r="C19" s="40"/>
      <c r="D19" s="41" t="n">
        <f aca="false">IF(AND(D14&lt;&gt;"",D15&lt;&gt;""),D14*D15*D16+D17*D15*D18,0)</f>
        <v>0</v>
      </c>
      <c r="E19" s="36" t="s">
        <v>45</v>
      </c>
    </row>
    <row r="21" customFormat="false" ht="25.5" hidden="false" customHeight="true" outlineLevel="0" collapsed="false">
      <c r="A21" s="42" t="s">
        <v>67</v>
      </c>
      <c r="B21" s="42"/>
      <c r="C21" s="42"/>
      <c r="D21" s="42"/>
      <c r="E21" s="42"/>
      <c r="F21" s="42"/>
      <c r="G21" s="42"/>
    </row>
    <row r="22" customFormat="false" ht="24" hidden="false" customHeight="true" outlineLevel="0" collapsed="false">
      <c r="A22" s="38"/>
      <c r="B22" s="24" t="s">
        <v>68</v>
      </c>
      <c r="C22" s="24"/>
      <c r="D22" s="31"/>
      <c r="E22" s="18" t="s">
        <v>45</v>
      </c>
    </row>
    <row r="23" customFormat="false" ht="24" hidden="false" customHeight="true" outlineLevel="0" collapsed="false">
      <c r="A23" s="38"/>
      <c r="B23" s="24" t="s">
        <v>69</v>
      </c>
      <c r="C23" s="24"/>
      <c r="D23" s="39"/>
      <c r="E23" s="10" t="s">
        <v>63</v>
      </c>
    </row>
    <row r="24" customFormat="false" ht="27.75" hidden="false" customHeight="true" outlineLevel="0" collapsed="false">
      <c r="B24" s="43" t="s">
        <v>70</v>
      </c>
      <c r="C24" s="43"/>
      <c r="D24" s="44" t="n">
        <f aca="false">IF(AND(D22&lt;&gt;"",D23&lt;&gt;""),D22*D23,0)</f>
        <v>0</v>
      </c>
      <c r="E24" s="36" t="s">
        <v>45</v>
      </c>
    </row>
    <row r="26" customFormat="false" ht="25.5" hidden="false" customHeight="true" outlineLevel="0" collapsed="false">
      <c r="A26" s="45" t="s">
        <v>71</v>
      </c>
      <c r="B26" s="45"/>
      <c r="C26" s="45"/>
      <c r="D26" s="45"/>
      <c r="E26" s="45"/>
      <c r="F26" s="45"/>
      <c r="G26" s="45"/>
    </row>
    <row r="27" customFormat="false" ht="24" hidden="false" customHeight="true" outlineLevel="0" collapsed="false">
      <c r="A27" s="38"/>
      <c r="B27" s="24" t="s">
        <v>72</v>
      </c>
      <c r="C27" s="24"/>
      <c r="D27" s="31"/>
      <c r="E27" s="18" t="s">
        <v>45</v>
      </c>
    </row>
    <row r="28" customFormat="false" ht="24" hidden="false" customHeight="true" outlineLevel="0" collapsed="false">
      <c r="A28" s="38"/>
      <c r="B28" s="24" t="s">
        <v>73</v>
      </c>
      <c r="C28" s="24"/>
      <c r="D28" s="39"/>
      <c r="E28" s="10" t="s">
        <v>63</v>
      </c>
    </row>
    <row r="29" customFormat="false" ht="27.75" hidden="false" customHeight="true" outlineLevel="0" collapsed="false">
      <c r="B29" s="46" t="s">
        <v>74</v>
      </c>
      <c r="C29" s="46"/>
      <c r="D29" s="47" t="n">
        <f aca="false">IF(AND(D27&lt;&gt;"",D28&lt;&gt;""),D27*D28,0)</f>
        <v>0</v>
      </c>
      <c r="E29" s="36" t="s">
        <v>45</v>
      </c>
    </row>
    <row r="31" customFormat="false" ht="25.5" hidden="false" customHeight="true" outlineLevel="0" collapsed="false">
      <c r="A31" s="48" t="s">
        <v>75</v>
      </c>
      <c r="B31" s="48"/>
      <c r="C31" s="48"/>
      <c r="D31" s="48"/>
      <c r="E31" s="48"/>
      <c r="F31" s="48"/>
      <c r="G31" s="48"/>
    </row>
    <row r="32" customFormat="false" ht="24" hidden="false" customHeight="true" outlineLevel="0" collapsed="false">
      <c r="A32" s="38"/>
      <c r="B32" s="24" t="s">
        <v>76</v>
      </c>
      <c r="C32" s="24"/>
      <c r="D32" s="31"/>
      <c r="E32" s="18" t="s">
        <v>45</v>
      </c>
    </row>
    <row r="33" customFormat="false" ht="24" hidden="false" customHeight="true" outlineLevel="0" collapsed="false">
      <c r="A33" s="38"/>
      <c r="B33" s="24" t="s">
        <v>77</v>
      </c>
      <c r="C33" s="24"/>
      <c r="D33" s="31"/>
      <c r="E33" s="18" t="s">
        <v>45</v>
      </c>
    </row>
    <row r="34" customFormat="false" ht="27.75" hidden="false" customHeight="true" outlineLevel="0" collapsed="false">
      <c r="B34" s="49" t="s">
        <v>78</v>
      </c>
      <c r="C34" s="49"/>
      <c r="D34" s="50" t="n">
        <f aca="false">SUM(D32:D33)</f>
        <v>0</v>
      </c>
      <c r="E34" s="36" t="s">
        <v>45</v>
      </c>
    </row>
    <row r="36" customFormat="false" ht="30" hidden="false" customHeight="true" outlineLevel="0" collapsed="false">
      <c r="A36" s="22" t="s">
        <v>79</v>
      </c>
      <c r="B36" s="22"/>
      <c r="C36" s="22"/>
      <c r="D36" s="22"/>
      <c r="E36" s="22"/>
      <c r="F36" s="22"/>
      <c r="G36" s="22"/>
    </row>
    <row r="37" customFormat="false" ht="27.75" hidden="false" customHeight="true" outlineLevel="0" collapsed="false">
      <c r="A37" s="51" t="s">
        <v>80</v>
      </c>
      <c r="B37" s="51"/>
      <c r="C37" s="51"/>
      <c r="D37" s="52" t="n">
        <f aca="false">D19+D24+D29+D34</f>
        <v>0</v>
      </c>
      <c r="E37" s="36" t="s">
        <v>45</v>
      </c>
    </row>
    <row r="38" customFormat="false" ht="27.75" hidden="false" customHeight="true" outlineLevel="0" collapsed="false">
      <c r="A38" s="51" t="s">
        <v>81</v>
      </c>
      <c r="B38" s="51"/>
      <c r="C38" s="51"/>
      <c r="D38" s="52" t="n">
        <f aca="false">D10</f>
        <v>0</v>
      </c>
      <c r="E38" s="36" t="s">
        <v>45</v>
      </c>
    </row>
    <row r="39" customFormat="false" ht="27.75" hidden="false" customHeight="true" outlineLevel="0" collapsed="false">
      <c r="A39" s="53" t="s">
        <v>82</v>
      </c>
      <c r="B39" s="53"/>
      <c r="C39" s="53"/>
      <c r="D39" s="52" t="n">
        <f aca="false">D37-D38</f>
        <v>0</v>
      </c>
      <c r="E39" s="36" t="s">
        <v>45</v>
      </c>
    </row>
    <row r="40" customFormat="false" ht="31.5" hidden="false" customHeight="true" outlineLevel="0" collapsed="false">
      <c r="A40" s="54" t="s">
        <v>83</v>
      </c>
      <c r="B40" s="54"/>
      <c r="C40" s="54"/>
      <c r="D40" s="55" t="str">
        <f aca="false">IF(D38&gt;0,(D37-D38)/D38,"")</f>
        <v/>
      </c>
      <c r="E40" s="36"/>
    </row>
    <row r="41" customFormat="false" ht="31.5" hidden="false" customHeight="true" outlineLevel="0" collapsed="false">
      <c r="A41" s="53" t="s">
        <v>84</v>
      </c>
      <c r="B41" s="53"/>
      <c r="C41" s="53"/>
      <c r="D41" s="56" t="str">
        <f aca="false">IF(D37&gt;0,ROUND(D38/(D37/12),1),"")</f>
        <v/>
      </c>
      <c r="E41" s="36" t="s">
        <v>85</v>
      </c>
    </row>
    <row r="43" customFormat="false" ht="25.5" hidden="false" customHeight="true" outlineLevel="0" collapsed="false">
      <c r="A43" s="25" t="s">
        <v>86</v>
      </c>
      <c r="B43" s="25"/>
      <c r="C43" s="25"/>
      <c r="D43" s="25"/>
      <c r="E43" s="25"/>
      <c r="F43" s="25"/>
      <c r="G43" s="25"/>
    </row>
    <row r="44" customFormat="false" ht="25.5" hidden="false" customHeight="true" outlineLevel="0" collapsed="false">
      <c r="A44" s="16" t="s">
        <v>87</v>
      </c>
      <c r="B44" s="16"/>
      <c r="C44" s="16"/>
      <c r="D44" s="57" t="str">
        <f aca="false">D40</f>
        <v/>
      </c>
    </row>
    <row r="45" customFormat="false" ht="25.5" hidden="false" customHeight="true" outlineLevel="0" collapsed="false">
      <c r="A45" s="16" t="s">
        <v>88</v>
      </c>
      <c r="B45" s="16"/>
      <c r="C45" s="16"/>
      <c r="D45" s="57" t="str">
        <f aca="false">IF(D38&gt;0,(D37-D38*0.5)/(D38*0.5),"")</f>
        <v/>
      </c>
    </row>
    <row r="46" customFormat="false" ht="25.5" hidden="false" customHeight="true" outlineLevel="0" collapsed="false">
      <c r="A46" s="16" t="s">
        <v>89</v>
      </c>
      <c r="B46" s="16"/>
      <c r="C46" s="16"/>
      <c r="D46" s="57" t="str">
        <f aca="false">IF(D38&gt;0,(D37-D38*0.4)/(D38*0.4),"")</f>
        <v/>
      </c>
    </row>
    <row r="47" customFormat="false" ht="25.5" hidden="false" customHeight="true" outlineLevel="0" collapsed="false">
      <c r="A47" s="16" t="s">
        <v>90</v>
      </c>
      <c r="B47" s="16"/>
      <c r="C47" s="16"/>
      <c r="D47" s="41" t="str">
        <f aca="false">IF(D38&gt;0,D37*3-(D38+D38*0.5+D38*0.4),"")</f>
        <v/>
      </c>
    </row>
    <row r="49" customFormat="false" ht="11.15" hidden="false" customHeight="false" outlineLevel="0" collapsed="false">
      <c r="A49" s="29" t="s">
        <v>91</v>
      </c>
      <c r="B49" s="29"/>
      <c r="C49" s="29"/>
      <c r="D49" s="29"/>
      <c r="E49" s="29"/>
      <c r="F49" s="29"/>
      <c r="G49" s="29"/>
    </row>
  </sheetData>
  <mergeCells count="46">
    <mergeCell ref="A1:G1"/>
    <mergeCell ref="A2:G2"/>
    <mergeCell ref="A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A10:C10"/>
    <mergeCell ref="A12:G12"/>
    <mergeCell ref="A13:G13"/>
    <mergeCell ref="B14:C14"/>
    <mergeCell ref="B15:C15"/>
    <mergeCell ref="B16:C16"/>
    <mergeCell ref="B17:C17"/>
    <mergeCell ref="B18:C18"/>
    <mergeCell ref="B19:C19"/>
    <mergeCell ref="A21:G21"/>
    <mergeCell ref="B22:C22"/>
    <mergeCell ref="B23:C23"/>
    <mergeCell ref="B24:C24"/>
    <mergeCell ref="A26:G26"/>
    <mergeCell ref="B27:C27"/>
    <mergeCell ref="B28:C28"/>
    <mergeCell ref="B29:C29"/>
    <mergeCell ref="A31:G31"/>
    <mergeCell ref="B32:C32"/>
    <mergeCell ref="B33:C33"/>
    <mergeCell ref="B34:C34"/>
    <mergeCell ref="A36:G36"/>
    <mergeCell ref="A37:C37"/>
    <mergeCell ref="A38:C38"/>
    <mergeCell ref="A39:C39"/>
    <mergeCell ref="A40:C40"/>
    <mergeCell ref="A41:C41"/>
    <mergeCell ref="A43:G43"/>
    <mergeCell ref="A44:C44"/>
    <mergeCell ref="A45:C45"/>
    <mergeCell ref="A46:C46"/>
    <mergeCell ref="A47:C47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8" min="3" style="0" width="14"/>
  </cols>
  <sheetData>
    <row r="1" customFormat="false" ht="36" hidden="false" customHeight="true" outlineLevel="0" collapsed="false">
      <c r="A1" s="1" t="s">
        <v>92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37" t="s">
        <v>93</v>
      </c>
      <c r="B3" s="37"/>
      <c r="C3" s="37"/>
      <c r="D3" s="37"/>
      <c r="E3" s="37"/>
      <c r="F3" s="37"/>
      <c r="G3" s="37"/>
      <c r="H3" s="37"/>
    </row>
    <row r="4" customFormat="false" ht="15" hidden="false" customHeight="false" outlineLevel="0" collapsed="false">
      <c r="A4" s="6"/>
      <c r="B4" s="9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9" t="s">
        <v>99</v>
      </c>
      <c r="H4" s="9" t="s">
        <v>100</v>
      </c>
    </row>
    <row r="5" customFormat="false" ht="27.75" hidden="false" customHeight="true" outlineLevel="0" collapsed="false">
      <c r="A5" s="58" t="s">
        <v>101</v>
      </c>
      <c r="B5" s="59" t="s">
        <v>102</v>
      </c>
      <c r="C5" s="60" t="n">
        <v>9</v>
      </c>
      <c r="D5" s="60" t="n">
        <v>8</v>
      </c>
      <c r="E5" s="60" t="n">
        <v>7</v>
      </c>
      <c r="F5" s="60" t="s">
        <v>103</v>
      </c>
      <c r="G5" s="23" t="n">
        <f aca="false">AVERAGE(C5:E5)</f>
        <v>8</v>
      </c>
      <c r="H5" s="61" t="s">
        <v>104</v>
      </c>
    </row>
    <row r="6" customFormat="false" ht="27.75" hidden="false" customHeight="true" outlineLevel="0" collapsed="false">
      <c r="A6" s="62" t="s">
        <v>105</v>
      </c>
      <c r="B6" s="59" t="s">
        <v>102</v>
      </c>
      <c r="C6" s="63" t="n">
        <v>9</v>
      </c>
      <c r="D6" s="63" t="n">
        <v>8</v>
      </c>
      <c r="E6" s="63" t="n">
        <v>7</v>
      </c>
      <c r="F6" s="64" t="n">
        <v>3</v>
      </c>
      <c r="G6" s="65" t="n">
        <f aca="false">AVERAGE(C6:F6)</f>
        <v>6.75</v>
      </c>
      <c r="H6" s="66" t="s">
        <v>106</v>
      </c>
    </row>
    <row r="8" customFormat="false" ht="49.5" hidden="false" customHeight="true" outlineLevel="0" collapsed="false">
      <c r="A8" s="67" t="s">
        <v>107</v>
      </c>
      <c r="B8" s="67"/>
      <c r="C8" s="67"/>
      <c r="D8" s="67"/>
      <c r="E8" s="67"/>
      <c r="F8" s="67"/>
      <c r="G8" s="67"/>
      <c r="H8" s="67"/>
    </row>
  </sheetData>
  <mergeCells count="3">
    <mergeCell ref="A1:H1"/>
    <mergeCell ref="A3:H3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2026-03-21T04:42:44Z</dcterms:created>
  <dc:creator>openpyxl</dc:creator>
  <dc:description/>
  <dc:language>en-US</dc:language>
  <cp:lastModifiedBy/>
  <dcterms:modified xsi:type="dcterms:W3CDTF">2026-03-21T04:42:44Z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